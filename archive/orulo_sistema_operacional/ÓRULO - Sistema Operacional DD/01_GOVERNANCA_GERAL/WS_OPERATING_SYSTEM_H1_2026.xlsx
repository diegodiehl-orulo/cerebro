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  <sheet name="BACKLOG_GERAL" sheetId="2" state="visible" r:id="rId4"/>
    <sheet name="PLANO_DE_ACAO" sheetId="3" state="visible" r:id="rId5"/>
    <sheet name="STATUS_QUINZENAL" sheetId="4" state="visible" r:id="rId6"/>
    <sheet name="EVIDENCIAS" sheetId="5" state="visible" r:id="rId7"/>
    <sheet name="DECISOES" sheetId="6" state="visible" r:id="rId8"/>
    <sheet name="RITUAIS" sheetId="7" state="visible" r:id="rId9"/>
    <sheet name="DRIS_E_RESPONSAVEIS" sheetId="8" state="visible" r:id="rId10"/>
    <sheet name="KR_TRACKING" sheetId="9" state="visible" r:id="rId11"/>
  </sheets>
  <definedNames>
    <definedName function="false" hidden="true" localSheetId="1" name="_xlnm._FilterDatabase" vbProcedure="false">BACKLOG_GERAL!$A$1:$Z$71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3" authorId="0">
      <text>
        <r>
          <rPr>
            <sz val="10"/>
            <rFont val="Arial"/>
            <family val="2"/>
          </rPr>
          <t xml:space="preserve">======
ID#AAAB1v_hG5w
Diego Diehl    (2026-03-13 21:07:59)
Alinhar com o Marcelo esses pontos.
Entender o que está sendo feito na jornada de DLs, somar com o que estamos construindo no comercial e desenharmos o avanço disso.</t>
        </r>
      </text>
    </comment>
    <comment ref="B7" authorId="0">
      <text>
        <r>
          <rPr>
            <sz val="10"/>
            <rFont val="Arial"/>
            <family val="2"/>
          </rPr>
          <t xml:space="preserve">======
ID#AAAB1v_hG5s
Diego Diehl    (2026-03-13 21:06:32)
Alinhar com Marcelo para o CS entregar</t>
        </r>
      </text>
    </comment>
  </commentList>
</comments>
</file>

<file path=xl/sharedStrings.xml><?xml version="1.0" encoding="utf-8"?>
<sst xmlns="http://schemas.openxmlformats.org/spreadsheetml/2006/main" count="1117" uniqueCount="518">
  <si>
    <t xml:space="preserve">WS</t>
  </si>
  <si>
    <t xml:space="preserve">Nome WS</t>
  </si>
  <si>
    <t xml:space="preserve">Sponsor</t>
  </si>
  <si>
    <t xml:space="preserve">DRI</t>
  </si>
  <si>
    <t xml:space="preserve">Tipo de Resultado Esperado</t>
  </si>
  <si>
    <t xml:space="preserve">Métrica</t>
  </si>
  <si>
    <t xml:space="preserve">Status</t>
  </si>
  <si>
    <t xml:space="preserve">Prioridade</t>
  </si>
  <si>
    <t xml:space="preserve">Última atualização</t>
  </si>
  <si>
    <t xml:space="preserve">Próximo marco</t>
  </si>
  <si>
    <t xml:space="preserve">Risco geral</t>
  </si>
  <si>
    <t xml:space="preserve">Observação</t>
  </si>
  <si>
    <t xml:space="preserve">WS1</t>
  </si>
  <si>
    <t xml:space="preserve">Comunicação com Corretores</t>
  </si>
  <si>
    <t xml:space="preserve">Diego</t>
  </si>
  <si>
    <t xml:space="preserve">Mayumi</t>
  </si>
  <si>
    <t xml:space="preserve">WS1 — Ativação de corretores</t>
  </si>
  <si>
    <t xml:space="preserve">Corretores ativos</t>
  </si>
  <si>
    <t xml:space="preserve">Em estruturação</t>
  </si>
  <si>
    <t xml:space="preserve">Alta</t>
  </si>
  <si>
    <t xml:space="preserve">Kickoff</t>
  </si>
  <si>
    <t xml:space="preserve">Médio</t>
  </si>
  <si>
    <t xml:space="preserve">Ester atua como Participante Principal, não como DRI</t>
  </si>
  <si>
    <t xml:space="preserve">WS2</t>
  </si>
  <si>
    <t xml:space="preserve">Jornada DL → Pago</t>
  </si>
  <si>
    <t xml:space="preserve">Gustavo Torres</t>
  </si>
  <si>
    <t xml:space="preserve">WS2 — Conversão DL → Pago</t>
  </si>
  <si>
    <t xml:space="preserve">DL → Pago</t>
  </si>
  <si>
    <t xml:space="preserve">Conversar com o Marcelo para ver como o time do Marcelo pode se envolver.</t>
  </si>
  <si>
    <t xml:space="preserve">WS3</t>
  </si>
  <si>
    <t xml:space="preserve">Execução Territorial / Praças</t>
  </si>
  <si>
    <t xml:space="preserve">Diego Diehl</t>
  </si>
  <si>
    <t xml:space="preserve">WS3 — Execução territorial replicável</t>
  </si>
  <si>
    <t xml:space="preserve">Reuniões geradas</t>
  </si>
  <si>
    <t xml:space="preserve">Handoff de Mayumi e papel formal de Eduardo devem ser fechados no kickoff</t>
  </si>
  <si>
    <t xml:space="preserve">WS4</t>
  </si>
  <si>
    <t xml:space="preserve">Estrutura Comercial &amp; CRM</t>
  </si>
  <si>
    <t xml:space="preserve">WS4 — Disciplina comercial</t>
  </si>
  <si>
    <t xml:space="preserve">Pipeline atualizado</t>
  </si>
  <si>
    <t xml:space="preserve">WS5</t>
  </si>
  <si>
    <t xml:space="preserve">Marketing Event Driven</t>
  </si>
  <si>
    <t xml:space="preserve">WS5 — Amplificação de eventos</t>
  </si>
  <si>
    <t xml:space="preserve">Leads gerados</t>
  </si>
  <si>
    <t xml:space="preserve">Média</t>
  </si>
  <si>
    <t xml:space="preserve">WS6</t>
  </si>
  <si>
    <t xml:space="preserve">Embaixadoras Drive Free</t>
  </si>
  <si>
    <t xml:space="preserve">WS6 — Prova social do modelo</t>
  </si>
  <si>
    <t xml:space="preserve">Cases ativos</t>
  </si>
  <si>
    <t xml:space="preserve">Mayumi atua como coordenação/apoio, sem DRI formal neste momento</t>
  </si>
  <si>
    <t xml:space="preserve">WS7</t>
  </si>
  <si>
    <t xml:space="preserve">Modelo Econômico por Praça</t>
  </si>
  <si>
    <t xml:space="preserve">WS7 — Eficiência econômica por praça</t>
  </si>
  <si>
    <t xml:space="preserve">ROI por praça</t>
  </si>
  <si>
    <t xml:space="preserve">Eduardo a confirmar no kickoff; Felipe Goettems é Participante Principal</t>
  </si>
  <si>
    <t xml:space="preserve">Praça</t>
  </si>
  <si>
    <t xml:space="preserve">ID</t>
  </si>
  <si>
    <t xml:space="preserve">Frente</t>
  </si>
  <si>
    <t xml:space="preserve">Item</t>
  </si>
  <si>
    <t xml:space="preserve">Tipo</t>
  </si>
  <si>
    <t xml:space="preserve">Responsável</t>
  </si>
  <si>
    <t xml:space="preserve">Prazo</t>
  </si>
  <si>
    <t xml:space="preserve">Evidência esperada</t>
  </si>
  <si>
    <t xml:space="preserve">Geral</t>
  </si>
  <si>
    <t xml:space="preserve">WS1-S0-01</t>
  </si>
  <si>
    <t xml:space="preserve">Segmentação de Base</t>
  </si>
  <si>
    <t xml:space="preserve">Definir segmentos prioritários da base de corretores para a primeira rodada de comunicação</t>
  </si>
  <si>
    <t xml:space="preserve">Estrutural</t>
  </si>
  <si>
    <t xml:space="preserve">Segmentos prioritários definidos e documentados</t>
  </si>
  <si>
    <t xml:space="preserve">Não iniciado</t>
  </si>
  <si>
    <t xml:space="preserve">Evitar comunicação genérica para toda a base</t>
  </si>
  <si>
    <t xml:space="preserve">WS1-S0-02</t>
  </si>
  <si>
    <t xml:space="preserve">Cadência e Canal</t>
  </si>
  <si>
    <t xml:space="preserve">Definir canal principal e cadência mínima de comunicação com corretores</t>
  </si>
  <si>
    <t xml:space="preserve">Canal principal e cadência mínima documentados</t>
  </si>
  <si>
    <t xml:space="preserve">Formalizar rotina inicial do WS</t>
  </si>
  <si>
    <t xml:space="preserve">WS1-S0-03</t>
  </si>
  <si>
    <t xml:space="preserve">Critério de Ativação</t>
  </si>
  <si>
    <t xml:space="preserve">Definir critério mínimo de corretor ativo para leitura do workstream</t>
  </si>
  <si>
    <t xml:space="preserve">Critério de corretor ativo documentado</t>
  </si>
  <si>
    <t xml:space="preserve">Base para medir ativação real</t>
  </si>
  <si>
    <t xml:space="preserve">WS1-S0-04</t>
  </si>
  <si>
    <t xml:space="preserve">Captura de Sinais</t>
  </si>
  <si>
    <t xml:space="preserve">Estruturar lógica inicial de captura de sinais e feedbacks dos corretores</t>
  </si>
  <si>
    <t xml:space="preserve">Validação</t>
  </si>
  <si>
    <t xml:space="preserve">Lógica de captura de sinais registrada</t>
  </si>
  <si>
    <t xml:space="preserve">Transformar comunicação em inteligência de mercado</t>
  </si>
  <si>
    <t xml:space="preserve">WS1-S0-05</t>
  </si>
  <si>
    <t xml:space="preserve">Ritual do WS</t>
  </si>
  <si>
    <t xml:space="preserve">Registrar kickoff do WS1 no arquivo WS1_REUNIOES</t>
  </si>
  <si>
    <t xml:space="preserve">Rito</t>
  </si>
  <si>
    <t xml:space="preserve">Ata de kickoff preenchida no WS1_REUNIOES</t>
  </si>
  <si>
    <t xml:space="preserve">Consolidar início formal do workstream</t>
  </si>
  <si>
    <t xml:space="preserve">WS1-S1-01</t>
  </si>
  <si>
    <t xml:space="preserve">Execução de Comunicação</t>
  </si>
  <si>
    <t xml:space="preserve">Executar a primeira rodada estruturada de comunicação com os segmentos prioritários</t>
  </si>
  <si>
    <t xml:space="preserve">Operacional</t>
  </si>
  <si>
    <t xml:space="preserve">Primeira rodada de comunicação executada</t>
  </si>
  <si>
    <t xml:space="preserve">Primeira execução real do WS</t>
  </si>
  <si>
    <t xml:space="preserve">WS1-S1-02</t>
  </si>
  <si>
    <t xml:space="preserve">Leitura da Rede</t>
  </si>
  <si>
    <t xml:space="preserve">Registrar sinais dúvidas e respostas relevantes geradas pela primeira rodada</t>
  </si>
  <si>
    <t xml:space="preserve">Sinais e respostas relevantes registrados</t>
  </si>
  <si>
    <t xml:space="preserve">Criar leitura prática da rede</t>
  </si>
  <si>
    <t xml:space="preserve">WS1-S1-03</t>
  </si>
  <si>
    <t xml:space="preserve">Leitura Territorial</t>
  </si>
  <si>
    <t xml:space="preserve">Identificar quais praças apresentaram maior ativação ou retorno inicial</t>
  </si>
  <si>
    <t xml:space="preserve">Praças com maior ativação inicial identificadas</t>
  </si>
  <si>
    <t xml:space="preserve">Conectar WS1 à lógica territorial</t>
  </si>
  <si>
    <t xml:space="preserve">WS1-S1-04</t>
  </si>
  <si>
    <t xml:space="preserve">Aprendizado de Canal</t>
  </si>
  <si>
    <t xml:space="preserve">Consolidar aprendizado inicial sobre mensagem canal e frequência mais eficazes</t>
  </si>
  <si>
    <t xml:space="preserve">Aprendizados iniciais consolidados e documentados</t>
  </si>
  <si>
    <t xml:space="preserve">Base para refinar comunicação</t>
  </si>
  <si>
    <t xml:space="preserve">WS1-S1-05</t>
  </si>
  <si>
    <t xml:space="preserve">Evidência do WS</t>
  </si>
  <si>
    <t xml:space="preserve">Registrar evidências iniciais de ativação de corretores na aba EVIDENCIAS</t>
  </si>
  <si>
    <t xml:space="preserve">Ao menos 1 evidência de ativação registrada</t>
  </si>
  <si>
    <t xml:space="preserve">Fechar ciclo backlog → evidência</t>
  </si>
  <si>
    <t xml:space="preserve">WS2-S0-01</t>
  </si>
  <si>
    <t xml:space="preserve">Definição da Jornada</t>
  </si>
  <si>
    <t xml:space="preserve">Definir os estágios mínimos oficiais da jornada DL → Pago</t>
  </si>
  <si>
    <t xml:space="preserve">Documento com estágios definidos e nomeados</t>
  </si>
  <si>
    <t xml:space="preserve">Sprint 0</t>
  </si>
  <si>
    <t xml:space="preserve">WS2-S0-02</t>
  </si>
  <si>
    <t xml:space="preserve">Critérios de Avanço</t>
  </si>
  <si>
    <t xml:space="preserve">Definir critérios objetivos de passagem entre estágios da jornada</t>
  </si>
  <si>
    <t xml:space="preserve">Critérios por estágio registrados</t>
  </si>
  <si>
    <t xml:space="preserve">WS2-S0-03</t>
  </si>
  <si>
    <t xml:space="preserve">Priorização de Contas</t>
  </si>
  <si>
    <t xml:space="preserve">Selecionar lista inicial de contas DL prioritárias para operação da jornada</t>
  </si>
  <si>
    <t xml:space="preserve">Lista de contas com nome e praça</t>
  </si>
  <si>
    <t xml:space="preserve">WS2-S0-04</t>
  </si>
  <si>
    <t xml:space="preserve">Próxima Ação</t>
  </si>
  <si>
    <t xml:space="preserve">Definir responsável operacional e próxima ação obrigatória para cada conta prioritária</t>
  </si>
  <si>
    <t xml:space="preserve">Cada conta com dono e próxima ação definidos</t>
  </si>
  <si>
    <t xml:space="preserve">WS2-S0-05</t>
  </si>
  <si>
    <t xml:space="preserve">Registrar no WS2_REUNIOES o kickoff do workstream com escopo responsáveis e próximos passos</t>
  </si>
  <si>
    <t xml:space="preserve">Ata de kickoff preenchida no WS2_REUNIOES</t>
  </si>
  <si>
    <t xml:space="preserve">WS2-S1-01</t>
  </si>
  <si>
    <t xml:space="preserve">Execução da Jornada</t>
  </si>
  <si>
    <t xml:space="preserve">Aplicar a jornada mínima nas contas DL prioritárias selecionadas</t>
  </si>
  <si>
    <t xml:space="preserve">Contas com estágio atribuído na jornada</t>
  </si>
  <si>
    <t xml:space="preserve">Sprint 1</t>
  </si>
  <si>
    <t xml:space="preserve">WS2-S1-02</t>
  </si>
  <si>
    <t xml:space="preserve">Gargalos de Conversão</t>
  </si>
  <si>
    <t xml:space="preserve">Identificar contas sem avanço e registrar principal gargalo por conta</t>
  </si>
  <si>
    <t xml:space="preserve">Lista de contas paradas com gargalo registrado</t>
  </si>
  <si>
    <t xml:space="preserve">WS2-S1-03</t>
  </si>
  <si>
    <t xml:space="preserve">Regra de Próxima Ação</t>
  </si>
  <si>
    <t xml:space="preserve">Padronizar regra de próxima ação obrigatória para todas as contas em jornada</t>
  </si>
  <si>
    <t xml:space="preserve">Regra documentada e aplicada nas contas</t>
  </si>
  <si>
    <t xml:space="preserve">WS2-S1-04</t>
  </si>
  <si>
    <t xml:space="preserve">Leitura de Conversão</t>
  </si>
  <si>
    <t xml:space="preserve">Consolidar primeira leitura de conversão e estagnação das contas DL</t>
  </si>
  <si>
    <t xml:space="preserve">Leitura registrada com taxa de conversão e paradas</t>
  </si>
  <si>
    <t xml:space="preserve">WS2-S1-05</t>
  </si>
  <si>
    <t xml:space="preserve">Registrar evidências iniciais de avanço da jornada na aba EVIDENCIAS</t>
  </si>
  <si>
    <t xml:space="preserve">Ao menos 1 evidência de avanço registrada</t>
  </si>
  <si>
    <t xml:space="preserve">WS2-S0-06</t>
  </si>
  <si>
    <t xml:space="preserve">Qualificação de Leads</t>
  </si>
  <si>
    <t xml:space="preserve">Validar padrão de clareza sobre fonte e subfonte dos leads DL</t>
  </si>
  <si>
    <t xml:space="preserve">Critério de fonte e subfonte documentado + aplicado nas contas DL prioritárias com leitura inicial consolidada</t>
  </si>
  <si>
    <t xml:space="preserve">Pré-requisito para leitura de conversão confiável por praça</t>
  </si>
  <si>
    <t xml:space="preserve">WS3-S0-01</t>
  </si>
  <si>
    <t xml:space="preserve">Governança Territorial</t>
  </si>
  <si>
    <t xml:space="preserve">Definir critérios mínimos para ativar uma praça no ciclo territorial</t>
  </si>
  <si>
    <t xml:space="preserve">Critérios de ativação de praça documentados e validados</t>
  </si>
  <si>
    <t xml:space="preserve">Evitar dispersão territorial sem critério</t>
  </si>
  <si>
    <t xml:space="preserve">WS3-S0-02</t>
  </si>
  <si>
    <t xml:space="preserve">Priorização de Praças</t>
  </si>
  <si>
    <t xml:space="preserve">Selecionar até 2 praças prioritárias para a primeira rodada de execução territorial</t>
  </si>
  <si>
    <t xml:space="preserve">Duas praças piloto definidas com racional explícito</t>
  </si>
  <si>
    <t xml:space="preserve">Limitar foco inicial do WS</t>
  </si>
  <si>
    <t xml:space="preserve">WS3-S0-03</t>
  </si>
  <si>
    <t xml:space="preserve">Accountability Local</t>
  </si>
  <si>
    <t xml:space="preserve">Definir responsável local responsável comercial de follow-up e sponsor por praça priorizada</t>
  </si>
  <si>
    <t xml:space="preserve">Donos por praça definidos e registrados</t>
  </si>
  <si>
    <t xml:space="preserve">Fechar accountability territorial antes da ação</t>
  </si>
  <si>
    <t xml:space="preserve">WS3-S0-04</t>
  </si>
  <si>
    <t xml:space="preserve">Método de Execução</t>
  </si>
  <si>
    <t xml:space="preserve">Padronizar o modelo mínimo de sprint territorial com pré-ação ação e pós-ação</t>
  </si>
  <si>
    <t xml:space="preserve">Modelo de sprint territorial documentado</t>
  </si>
  <si>
    <t xml:space="preserve">Transformar execução territorial em método replicável</t>
  </si>
  <si>
    <t xml:space="preserve">WS3-S0-05</t>
  </si>
  <si>
    <t xml:space="preserve">Ritual / Readout</t>
  </si>
  <si>
    <t xml:space="preserve">Padronizar o readout D+14 e registrar kickoff do WS3 no arquivo WS3_REUNIOES</t>
  </si>
  <si>
    <t xml:space="preserve">Template D+14 definido e kickoff registrado</t>
  </si>
  <si>
    <t xml:space="preserve">Sem D+14 não há aprendizado institucional do WS</t>
  </si>
  <si>
    <t xml:space="preserve">Curitiba_PR</t>
  </si>
  <si>
    <t xml:space="preserve">WS3-S1-01</t>
  </si>
  <si>
    <t xml:space="preserve">Execução Territorial</t>
  </si>
  <si>
    <t xml:space="preserve">Executar a primeira sprint territorial completa em Curitiba com lista prévia de alvos e responsáveis</t>
  </si>
  <si>
    <t xml:space="preserve">Sprint executada com lista de alvos e responsáveis registrados</t>
  </si>
  <si>
    <t xml:space="preserve">Conectar praça dono local e follow-up</t>
  </si>
  <si>
    <t xml:space="preserve">WS3-S1-02</t>
  </si>
  <si>
    <t xml:space="preserve">Pós-Ação Comercial</t>
  </si>
  <si>
    <t xml:space="preserve">Registrar reuniões geradas follow-ups iniciados e pipeline influenciado pela sprint territorial</t>
  </si>
  <si>
    <t xml:space="preserve">Reuniões e follow-ups registrados com vínculo à sprint</t>
  </si>
  <si>
    <t xml:space="preserve">Medir avanço real além da presença</t>
  </si>
  <si>
    <t xml:space="preserve">Vitória_ES</t>
  </si>
  <si>
    <t xml:space="preserve">WS3-S1-03</t>
  </si>
  <si>
    <t xml:space="preserve">Executar a primeira sprint territorial completa em Vitória com lista prévia de alvos e responsáveis</t>
  </si>
  <si>
    <t xml:space="preserve">Segunda praça piloto para comparar execução</t>
  </si>
  <si>
    <t xml:space="preserve">WS3-S1-04</t>
  </si>
  <si>
    <t xml:space="preserve">Readout e Aprendizado</t>
  </si>
  <si>
    <t xml:space="preserve">Consolidar readout D+14 das praças piloto com aprendizado gargalos e impacto comercial</t>
  </si>
  <si>
    <t xml:space="preserve">Readout D+14 consolidado com aprendizados e gargalos</t>
  </si>
  <si>
    <t xml:space="preserve">Fechar ciclo ação → leitura → decisão</t>
  </si>
  <si>
    <t xml:space="preserve">WS3-S1-05</t>
  </si>
  <si>
    <t xml:space="preserve">Registrar evidências iniciais de execução territorial e impacto por praça na aba EVIDENCIAS</t>
  </si>
  <si>
    <t xml:space="preserve">Evidências registradas na aba EVIDENCIAS</t>
  </si>
  <si>
    <t xml:space="preserve">WS4-S0-01</t>
  </si>
  <si>
    <t xml:space="preserve">Estrutura de Pipeline</t>
  </si>
  <si>
    <t xml:space="preserve">Definir os estágios mínimos oficiais do pipeline comercial</t>
  </si>
  <si>
    <t xml:space="preserve">Estágios do pipeline definidos e documentados</t>
  </si>
  <si>
    <t xml:space="preserve">Criar visão comercial simples e utilizável</t>
  </si>
  <si>
    <t xml:space="preserve">WS4-S0-02</t>
  </si>
  <si>
    <t xml:space="preserve">Campos Obrigatórios</t>
  </si>
  <si>
    <t xml:space="preserve">Definir os campos obrigatórios de registro por oportunidade</t>
  </si>
  <si>
    <t xml:space="preserve">Lista de campos obrigatórios documentada</t>
  </si>
  <si>
    <t xml:space="preserve">Evitar pipeline incompleto ou dependente de memória</t>
  </si>
  <si>
    <t xml:space="preserve">WS4-S0-03</t>
  </si>
  <si>
    <t xml:space="preserve">Regra de Atualização</t>
  </si>
  <si>
    <t xml:space="preserve">Definir regra mínima de atualização e próxima ação obrigatória no pipeline</t>
  </si>
  <si>
    <t xml:space="preserve">Regra de atualização e próxima ação documentada</t>
  </si>
  <si>
    <t xml:space="preserve">Base para disciplina operacional</t>
  </si>
  <si>
    <t xml:space="preserve">WS4-S0-04</t>
  </si>
  <si>
    <t xml:space="preserve">Baseline Comercial</t>
  </si>
  <si>
    <t xml:space="preserve">Mapear oportunidades ativas e identificar quais já entram no fluxo mínimo oficial</t>
  </si>
  <si>
    <t xml:space="preserve">Lista de oportunidades ativas com enquadramento no fluxo</t>
  </si>
  <si>
    <t xml:space="preserve">Criar linha de base real do WS</t>
  </si>
  <si>
    <t xml:space="preserve">WS4-S0-05</t>
  </si>
  <si>
    <t xml:space="preserve">Registrar kickoff do WS4 no arquivo WS4_REUNIOES</t>
  </si>
  <si>
    <t xml:space="preserve">Ata de kickoff preenchida no WS4_REUNIOES</t>
  </si>
  <si>
    <t xml:space="preserve">WS4-S1-01</t>
  </si>
  <si>
    <t xml:space="preserve">Disciplina de Atualização</t>
  </si>
  <si>
    <t xml:space="preserve">Aplicar a regra mínima de atualização nas oportunidades ativas do pipeline</t>
  </si>
  <si>
    <t xml:space="preserve">Oportunidades ativas atualizadas conforme regra mínima</t>
  </si>
  <si>
    <t xml:space="preserve">Primeira execução real da disciplina comercial</t>
  </si>
  <si>
    <t xml:space="preserve">WS4-S1-02</t>
  </si>
  <si>
    <t xml:space="preserve">Correção de Higiene</t>
  </si>
  <si>
    <t xml:space="preserve">Identificar oportunidades sem próxima ação e registrar correção necessária</t>
  </si>
  <si>
    <t xml:space="preserve">Lista de oportunidades sem próxima ação com correção definida</t>
  </si>
  <si>
    <t xml:space="preserve">Atacar principal fonte de perda operacional</t>
  </si>
  <si>
    <t xml:space="preserve">WS4-S1-03</t>
  </si>
  <si>
    <t xml:space="preserve">Ritmo de Leitura</t>
  </si>
  <si>
    <t xml:space="preserve">Padronizar leitura semanal ou quinzenal de higiene do pipeline</t>
  </si>
  <si>
    <t xml:space="preserve">Ritual de leitura de higiene documentado</t>
  </si>
  <si>
    <t xml:space="preserve">Criar rotina mínima replicável</t>
  </si>
  <si>
    <t xml:space="preserve">WS4-S1-04</t>
  </si>
  <si>
    <t xml:space="preserve">Gargalos por Estágio</t>
  </si>
  <si>
    <t xml:space="preserve">Consolidar primeira leitura de gargalos por estágio comercial</t>
  </si>
  <si>
    <t xml:space="preserve">Leitura de gargalos por estágio consolidada</t>
  </si>
  <si>
    <t xml:space="preserve">Base para revisão mensal e integração com WS2</t>
  </si>
  <si>
    <t xml:space="preserve">WS4-S1-05</t>
  </si>
  <si>
    <t xml:space="preserve">Registrar evidências iniciais de disciplina comercial na aba EVIDENCIAS</t>
  </si>
  <si>
    <t xml:space="preserve">Ao menos 1 evidência de disciplina comercial registrada</t>
  </si>
  <si>
    <t xml:space="preserve">WS5-S0-01</t>
  </si>
  <si>
    <t xml:space="preserve">Definição de Escopo</t>
  </si>
  <si>
    <t xml:space="preserve">Definir o que entra e o que fica fora do escopo de Marketing Event Driven</t>
  </si>
  <si>
    <t xml:space="preserve">Escopo do WS documentado e validado</t>
  </si>
  <si>
    <t xml:space="preserve">Evitar marketing amplo ou difuso</t>
  </si>
  <si>
    <t xml:space="preserve">WS5-S0-02</t>
  </si>
  <si>
    <t xml:space="preserve">Priorização de Eventos</t>
  </si>
  <si>
    <t xml:space="preserve">Mapear até 2 eventos ou ações prioritárias para o primeiro ciclo de apoio</t>
  </si>
  <si>
    <t xml:space="preserve">Lista curta de eventos prioritários com racional explícito</t>
  </si>
  <si>
    <t xml:space="preserve">Limitar escopo inicial do WS</t>
  </si>
  <si>
    <t xml:space="preserve">WS5-S0-03</t>
  </si>
  <si>
    <t xml:space="preserve">Kit de Apoio</t>
  </si>
  <si>
    <t xml:space="preserve">Definir o kit mínimo de apoio de marketing para eventos prioritários</t>
  </si>
  <si>
    <t xml:space="preserve">Kit mínimo documentado com mensagem peça apoio e reforço</t>
  </si>
  <si>
    <t xml:space="preserve">Evitar produzir material sem padrão</t>
  </si>
  <si>
    <t xml:space="preserve">WS5-S0-04</t>
  </si>
  <si>
    <t xml:space="preserve">Leitura de Impacto</t>
  </si>
  <si>
    <t xml:space="preserve">Definir quais sinais mínimos serão usados para avaliar impacto do apoio de marketing</t>
  </si>
  <si>
    <t xml:space="preserve">Critérios mínimos de impacto registrados</t>
  </si>
  <si>
    <t xml:space="preserve">Evitar percepção subjetiva de valor</t>
  </si>
  <si>
    <t xml:space="preserve">WS5-S0-05</t>
  </si>
  <si>
    <t xml:space="preserve">Registrar kickoff do WS5 no arquivo WS5_REUNIOES com escopo eventos prioritários e próximos passos</t>
  </si>
  <si>
    <t xml:space="preserve">Kickoff registrado no WS5_REUNIOES</t>
  </si>
  <si>
    <t xml:space="preserve">WS5-S1-01</t>
  </si>
  <si>
    <t xml:space="preserve">Execução de Apoio</t>
  </si>
  <si>
    <t xml:space="preserve">Executar o kit mínimo de apoio no primeiro evento ou ação prioritária</t>
  </si>
  <si>
    <t xml:space="preserve">Kit aplicado em evento prioritário real</t>
  </si>
  <si>
    <t xml:space="preserve">Primeiro caso real do WS</t>
  </si>
  <si>
    <t xml:space="preserve">WS5-S1-02</t>
  </si>
  <si>
    <t xml:space="preserve">Captura de Resultado</t>
  </si>
  <si>
    <t xml:space="preserve">Registrar sinais mínimos de impacto do apoio de marketing no evento apoiado</t>
  </si>
  <si>
    <t xml:space="preserve">Sinais de impacto registrados com base observável</t>
  </si>
  <si>
    <t xml:space="preserve">Medir utilidade real do apoio</t>
  </si>
  <si>
    <t xml:space="preserve">WS5-S1-03</t>
  </si>
  <si>
    <t xml:space="preserve">Comparação de Formato</t>
  </si>
  <si>
    <t xml:space="preserve">Ajustar mensagem formato ou apoio com base no aprendizado do primeiro caso</t>
  </si>
  <si>
    <t xml:space="preserve">Ajuste documentado com racional claro</t>
  </si>
  <si>
    <t xml:space="preserve">Aprendizado aplicado não só narrado</t>
  </si>
  <si>
    <t xml:space="preserve">WS5-S1-04</t>
  </si>
  <si>
    <t xml:space="preserve">Segundo Caso Prioritário</t>
  </si>
  <si>
    <t xml:space="preserve">Avaliar se vale aplicar o modelo no segundo evento prioritário do ciclo</t>
  </si>
  <si>
    <t xml:space="preserve">Decisão explícita sobre segundo caso</t>
  </si>
  <si>
    <t xml:space="preserve">Evitar escala automática sem leitura</t>
  </si>
  <si>
    <t xml:space="preserve">WS5-S1-05</t>
  </si>
  <si>
    <t xml:space="preserve">Registrar evidências iniciais do WS5 na aba EVIDENCIAS</t>
  </si>
  <si>
    <t xml:space="preserve">WS6-S0-01</t>
  </si>
  <si>
    <t xml:space="preserve">Critério de Seleção</t>
  </si>
  <si>
    <t xml:space="preserve">Definir critérios mínimos para uma incorporadora ser considerada embaixadora drive-free</t>
  </si>
  <si>
    <t xml:space="preserve">Critérios de seleção documentados e validados</t>
  </si>
  <si>
    <t xml:space="preserve">Evitar escolha subjetiva ou simbólica</t>
  </si>
  <si>
    <t xml:space="preserve">WS6-S0-02</t>
  </si>
  <si>
    <t xml:space="preserve">Modelo Operacional</t>
  </si>
  <si>
    <t xml:space="preserve">Definir o que caracteriza operação mínima real de uma embaixadora drive-free</t>
  </si>
  <si>
    <t xml:space="preserve">Modelo mínimo documentado com requisitos claros</t>
  </si>
  <si>
    <t xml:space="preserve">Evitar chamar de embaixadora algo que não opera</t>
  </si>
  <si>
    <t xml:space="preserve">WS6-S0-03</t>
  </si>
  <si>
    <t xml:space="preserve">Seleção de Casos</t>
  </si>
  <si>
    <t xml:space="preserve">Selecionar até 2 incorporadoras prioritárias para o primeiro ciclo de validação</t>
  </si>
  <si>
    <t xml:space="preserve">Até 2 casos escolhidos com racional explícito</t>
  </si>
  <si>
    <t xml:space="preserve">Limitar escopo e risco do WS</t>
  </si>
  <si>
    <t xml:space="preserve">WS6-S0-04</t>
  </si>
  <si>
    <t xml:space="preserve">Prova Social</t>
  </si>
  <si>
    <t xml:space="preserve">Definir quais sinais concretos de prova social e valor serão observados no piloto</t>
  </si>
  <si>
    <t xml:space="preserve">Critérios de leitura de prova social registrados</t>
  </si>
  <si>
    <t xml:space="preserve">Evitar percepção vaga de valor</t>
  </si>
  <si>
    <t xml:space="preserve">WS6-S0-05</t>
  </si>
  <si>
    <t xml:space="preserve">Registrar kickoff do WS6 no arquivo WS6_REUNIOES com escopo casos prioritários e próximos passos</t>
  </si>
  <si>
    <t xml:space="preserve">Kickoff registrado no WS6_REUNIOES</t>
  </si>
  <si>
    <t xml:space="preserve">WS6-S1-01</t>
  </si>
  <si>
    <t xml:space="preserve">Ativação de Caso</t>
  </si>
  <si>
    <t xml:space="preserve">Iniciar operação do modelo drive-free com a primeira incorporadora prioritária</t>
  </si>
  <si>
    <t xml:space="preserve">Primeira incorporadora operando o modelo mínimo definido</t>
  </si>
  <si>
    <t xml:space="preserve">WS6-S1-02</t>
  </si>
  <si>
    <t xml:space="preserve">Leitura de Valor</t>
  </si>
  <si>
    <t xml:space="preserve">Registrar sinais iniciais de valor percebido pela incorporadora e impacto observado</t>
  </si>
  <si>
    <t xml:space="preserve">Sinais de valor registrados com base observável</t>
  </si>
  <si>
    <t xml:space="preserve">Distinguir valor real de percepção genérica</t>
  </si>
  <si>
    <t xml:space="preserve">WS6-S1-03</t>
  </si>
  <si>
    <t xml:space="preserve">Comparação de Casos</t>
  </si>
  <si>
    <t xml:space="preserve">Avaliar se vale ativar a segunda incorporadora prioritária com base no aprendizado do primeiro caso</t>
  </si>
  <si>
    <t xml:space="preserve">Decisão explícita sobre ativação do segundo caso</t>
  </si>
  <si>
    <t xml:space="preserve">Evitar escalar antes de validar</t>
  </si>
  <si>
    <t xml:space="preserve">WS6-S1-04</t>
  </si>
  <si>
    <t xml:space="preserve">Aprendizado do Modelo</t>
  </si>
  <si>
    <t xml:space="preserve">Consolidar aprendizados iniciais sobre operação adesão e limite do modelo drive-free</t>
  </si>
  <si>
    <t xml:space="preserve">Documento curto de aprendizados e limites do piloto</t>
  </si>
  <si>
    <t xml:space="preserve">Base para decidir continuidade ou ajuste</t>
  </si>
  <si>
    <t xml:space="preserve">WS6-S1-05</t>
  </si>
  <si>
    <t xml:space="preserve">Registrar evidências iniciais do WS6 na aba EVIDENCIAS</t>
  </si>
  <si>
    <t xml:space="preserve">WS7-S0-01</t>
  </si>
  <si>
    <t xml:space="preserve">Modelo Econômico</t>
  </si>
  <si>
    <t xml:space="preserve">Definir quais variáveis mínimas compõem a leitura econômica por praça</t>
  </si>
  <si>
    <t xml:space="preserve">Variáveis mínimas documentadas e validadas</t>
  </si>
  <si>
    <t xml:space="preserve">Base do modelo sem sofisticação excessiva</t>
  </si>
  <si>
    <t xml:space="preserve">WS7-S0-02</t>
  </si>
  <si>
    <t xml:space="preserve">Gate de Investimento</t>
  </si>
  <si>
    <t xml:space="preserve">Definir critérios mínimos para aumentar manter corrigir ou pausar investimento por praça</t>
  </si>
  <si>
    <t xml:space="preserve">Gatilhos de decisão documentados</t>
  </si>
  <si>
    <t xml:space="preserve">Traduzir crescimento em regra de alocação</t>
  </si>
  <si>
    <t xml:space="preserve">WS7-S0-03</t>
  </si>
  <si>
    <t xml:space="preserve">Cadência de Crescimento</t>
  </si>
  <si>
    <t xml:space="preserve">Definir a lógica inicial de cadência entre investimento vendas e receita da praça</t>
  </si>
  <si>
    <t xml:space="preserve">Regra inicial de cadência registrada em linguagem executiva</t>
  </si>
  <si>
    <t xml:space="preserve">Evitar crescimento baseado só em percepção</t>
  </si>
  <si>
    <t xml:space="preserve">WS7-S0-04</t>
  </si>
  <si>
    <t xml:space="preserve">Praças Piloto</t>
  </si>
  <si>
    <t xml:space="preserve">Selecionar até 2 praças prioritárias para aplicar o modelo econômico inicial</t>
  </si>
  <si>
    <t xml:space="preserve">Praças piloto escolhidas com racional explícito</t>
  </si>
  <si>
    <t xml:space="preserve">Limitar escopo e facilitar comparação</t>
  </si>
  <si>
    <t xml:space="preserve">WS7-S0-05</t>
  </si>
  <si>
    <t xml:space="preserve">Registrar kickoff do WS7 no arquivo WS7_REUNIOES com escopo variáveis e praças piloto</t>
  </si>
  <si>
    <t xml:space="preserve">Kickoff registrado no WS7_REUNIOES</t>
  </si>
  <si>
    <t xml:space="preserve">WS7-S1-01</t>
  </si>
  <si>
    <t xml:space="preserve">Baseline Econômico</t>
  </si>
  <si>
    <t xml:space="preserve">Consolidar baseline de investimento vendas e receita da praça piloto Curitiba</t>
  </si>
  <si>
    <t xml:space="preserve">Baseline econômico consolidado para Curitiba</t>
  </si>
  <si>
    <t xml:space="preserve">Primeira praça para aplicação do modelo</t>
  </si>
  <si>
    <t xml:space="preserve">WS7-S1-02</t>
  </si>
  <si>
    <t xml:space="preserve">Consolidar baseline de investimento vendas e receita da praça piloto Vitória</t>
  </si>
  <si>
    <t xml:space="preserve">Baseline econômico consolidado para Vitória</t>
  </si>
  <si>
    <t xml:space="preserve">Segunda praça para comparação</t>
  </si>
  <si>
    <t xml:space="preserve">WS7-S1-03</t>
  </si>
  <si>
    <t xml:space="preserve">Leitura Investimento x Retorno</t>
  </si>
  <si>
    <t xml:space="preserve">Comparar esforço e investimento atual com o retorno observado nas praças piloto</t>
  </si>
  <si>
    <t xml:space="preserve">Comparação investimento x retorno documentada</t>
  </si>
  <si>
    <t xml:space="preserve">Tornar explícito o custo de acelerar</t>
  </si>
  <si>
    <t xml:space="preserve">WS7-S1-04</t>
  </si>
  <si>
    <t xml:space="preserve">Regra de Decisão</t>
  </si>
  <si>
    <t xml:space="preserve">Propor a primeira regra prática de cadência de crescimento por praça com base no piloto</t>
  </si>
  <si>
    <t xml:space="preserve">Regra executiva de cadência registrada</t>
  </si>
  <si>
    <t xml:space="preserve">Exemplo quando acelerar quando segurar quando corrigir</t>
  </si>
  <si>
    <t xml:space="preserve">WS7-S1-05</t>
  </si>
  <si>
    <t xml:space="preserve">Registrar evidências iniciais do WS7 na aba EVIDENCIAS e consolidar decisão Dobrar / Manter / Corrigir / Pausar</t>
  </si>
  <si>
    <t xml:space="preserve">Evidências registradas e decisão por praça consolidada</t>
  </si>
  <si>
    <t xml:space="preserve">Fechar ciclo backlog → evidência → decisão</t>
  </si>
  <si>
    <t xml:space="preserve">Id_Backlog</t>
  </si>
  <si>
    <t xml:space="preserve">Ação</t>
  </si>
  <si>
    <t xml:space="preserve">Data</t>
  </si>
  <si>
    <t xml:space="preserve">Quinzena</t>
  </si>
  <si>
    <t xml:space="preserve">Status geral</t>
  </si>
  <si>
    <t xml:space="preserve">Principal avanço</t>
  </si>
  <si>
    <t xml:space="preserve">Principal bloqueio</t>
  </si>
  <si>
    <t xml:space="preserve">Decisões do ciclo</t>
  </si>
  <si>
    <t xml:space="preserve">Evidências do ciclo</t>
  </si>
  <si>
    <t xml:space="preserve">Link evidência</t>
  </si>
  <si>
    <t xml:space="preserve">Próximos passos</t>
  </si>
  <si>
    <t xml:space="preserve">Pendências críticas</t>
  </si>
  <si>
    <t xml:space="preserve">17/03/2026</t>
  </si>
  <si>
    <t xml:space="preserve">Sprint 01 — 03/03–17/03/2026</t>
  </si>
  <si>
    <t xml:space="preserve">Vitória</t>
  </si>
  <si>
    <t xml:space="preserve">Pedro Kneip</t>
  </si>
  <si>
    <t xml:space="preserve">Verde</t>
  </si>
  <si>
    <t xml:space="preserve">MRR fechado R$ 4.195,28 — 4 clientes (Cobra, EBS, SWA, M.Lar) + 3 em assinatura (Canal, Empar, Épura) + 1 em validação (Nazca)</t>
  </si>
  <si>
    <t xml:space="preserve">Gargalo CS/onboarding Z2 — acionado Marcelo em 12/03</t>
  </si>
  <si>
    <t xml:space="preserve">Dobrar praça — CS acionado — Contrato Sprint 02 enviado a Kneip em 12/03</t>
  </si>
  <si>
    <t xml:space="preserve">One-Pager Kneip 12/03 + contratos assinados + Notion atualizado</t>
  </si>
  <si>
    <t xml:space="preserve">https://www.notion.so/312efbcc1d00805c951de3b5e87e10c2?v=312efbcc1d0080b0ad90000c7c8eec3e</t>
  </si>
  <si>
    <t xml:space="preserve">C1: fechar Canal, Empar, +1 novo | C2: 10+ leads | C3: onboardings Z2 com CS | C4: GS Construtora</t>
  </si>
  <si>
    <t xml:space="preserve">Resposta Marcelo (CS) sobre capacidade onboarding Z2</t>
  </si>
  <si>
    <t xml:space="preserve">Evidência</t>
  </si>
  <si>
    <t xml:space="preserve">Link/Referência</t>
  </si>
  <si>
    <t xml:space="preserve">O que prova</t>
  </si>
  <si>
    <t xml:space="preserve">12/03/2026</t>
  </si>
  <si>
    <t xml:space="preserve">MRR fechado Sprint 01: R$ 4.195,28</t>
  </si>
  <si>
    <t xml:space="preserve">Resultado</t>
  </si>
  <si>
    <t xml:space="preserve">Indicador norte batido — 4 clientes fechados no período</t>
  </si>
  <si>
    <t xml:space="preserve">Cobra, EBS, SWA, M.Lar</t>
  </si>
  <si>
    <t xml:space="preserve">3 contas em assinatura: Canal, Empar, Épura (todos Z2)</t>
  </si>
  <si>
    <t xml:space="preserve">Pipeline</t>
  </si>
  <si>
    <t xml:space="preserve">MRR em assinatura: R$ 3.857,03</t>
  </si>
  <si>
    <t xml:space="preserve">1 conta em validação: Nazca (DA + Z2)</t>
  </si>
  <si>
    <t xml:space="preserve">MRR em validação: R$ 1.925,03</t>
  </si>
  <si>
    <t xml:space="preserve">Ciclo longo — múltiplas aprovações internas</t>
  </si>
  <si>
    <t xml:space="preserve">One-Pager Sprint 01 entregue por Kneip</t>
  </si>
  <si>
    <t xml:space="preserve">Governança</t>
  </si>
  <si>
    <t xml:space="preserve">Governança operacional ativa — Notion em dia</t>
  </si>
  <si>
    <t xml:space="preserve">Contrato Sprint 02 enviado a Kneip</t>
  </si>
  <si>
    <t xml:space="preserve">C1/C2/C3/C4 definidos e comunicados</t>
  </si>
  <si>
    <t xml:space="preserve">CS acionado via e-mail a Marcelo Rodrigues</t>
  </si>
  <si>
    <t xml:space="preserve">Ação de Matriz</t>
  </si>
  <si>
    <t xml:space="preserve">Gargalo onboarding Z2 identificado e escalado</t>
  </si>
  <si>
    <t xml:space="preserve">Aguarda retorno Marcelo</t>
  </si>
  <si>
    <t xml:space="preserve">Decisão</t>
  </si>
  <si>
    <t xml:space="preserve">Motivo</t>
  </si>
  <si>
    <t xml:space="preserve">Impacto</t>
  </si>
  <si>
    <t xml:space="preserve">Próximo passo</t>
  </si>
  <si>
    <t xml:space="preserve">Tipo de ritual</t>
  </si>
  <si>
    <t xml:space="preserve">Frequência</t>
  </si>
  <si>
    <t xml:space="preserve">Link reunião</t>
  </si>
  <si>
    <t xml:space="preserve">Última ocorrência</t>
  </si>
  <si>
    <t xml:space="preserve">Próxima ocorrência</t>
  </si>
  <si>
    <t xml:space="preserve">Autonomia do DRI</t>
  </si>
  <si>
    <t xml:space="preserve">Escalonamento</t>
  </si>
  <si>
    <t xml:space="preserve">Participantes principais</t>
  </si>
  <si>
    <t xml:space="preserve">Ester</t>
  </si>
  <si>
    <t xml:space="preserve">Ester atua como Participante Principal</t>
  </si>
  <si>
    <t xml:space="preserve">Definir</t>
  </si>
  <si>
    <t xml:space="preserve">Jade, Mirla, Bruna</t>
  </si>
  <si>
    <t xml:space="preserve">Pedro Kneip, Luiz Zanella</t>
  </si>
  <si>
    <t xml:space="preserve">Papel formal do Eduardo e handoff de Mayumi devem ser fechados no kickoff</t>
  </si>
  <si>
    <t xml:space="preserve">Marcelo, Bruna</t>
  </si>
  <si>
    <t xml:space="preserve">Gustavo</t>
  </si>
  <si>
    <t xml:space="preserve">Mayumi atua como coordenação/apoio, sem DRI formal</t>
  </si>
  <si>
    <t xml:space="preserve">Felipe Goettems</t>
  </si>
  <si>
    <t xml:space="preserve">Eduardo a confirmar no kickoff; Felipe não é DRI</t>
  </si>
  <si>
    <t xml:space="preserve">O5 — Acompanhamento de KRs | Sponsor: Diego Diehl</t>
  </si>
  <si>
    <t xml:space="preserve">Atualização: Mensal | Fonte: DD - Definição de Estratégia e OKRs 2026 - Diretoria.xlsx</t>
  </si>
  <si>
    <t xml:space="preserve">KR</t>
  </si>
  <si>
    <t xml:space="preserve">Descrição</t>
  </si>
  <si>
    <t xml:space="preserve">WS Principal</t>
  </si>
  <si>
    <t xml:space="preserve">Baseline</t>
  </si>
  <si>
    <t xml:space="preserve">Meta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</si>
  <si>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</si>
  <si>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</si>
  <si>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</si>
  <si>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</si>
  <si>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</si>
  <si>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</si>
  <si>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% Progresso</t>
  </si>
  <si>
    <t xml:space="preserve">Tendência</t>
  </si>
  <si>
    <t xml:space="preserve">KR1</t>
  </si>
  <si>
    <t xml:space="preserve">Implementar programa de embaixadores em 7 praças-alvo</t>
  </si>
  <si>
    <t xml:space="preserve">WS6, WS3</t>
  </si>
  <si>
    <t xml:space="preserve">—</t>
  </si>
  <si>
    <t xml:space="preserve">7 praças</t>
  </si>
  <si>
    <t xml:space="preserve">🔴 Sem dado</t>
  </si>
  <si>
    <t xml:space="preserve">Corrigir</t>
  </si>
  <si>
    <t xml:space="preserve">KR2</t>
  </si>
  <si>
    <t xml:space="preserve">Ter 15 embaixadores ativos</t>
  </si>
  <si>
    <t xml:space="preserve">15 embaixadores</t>
  </si>
  <si>
    <t xml:space="preserve">KR3</t>
  </si>
  <si>
    <t xml:space="preserve">Realizar 24 eventos locais</t>
  </si>
  <si>
    <t xml:space="preserve">WS3, WS5</t>
  </si>
  <si>
    <t xml:space="preserve">0</t>
  </si>
  <si>
    <t xml:space="preserve">24</t>
  </si>
  <si>
    <t xml:space="preserve">↗</t>
  </si>
  <si>
    <t xml:space="preserve">🟡 Iniciado</t>
  </si>
  <si>
    <t xml:space="preserve">Corrigir (acelerar)</t>
  </si>
  <si>
    <t xml:space="preserve">KR5</t>
  </si>
  <si>
    <t xml:space="preserve">Aumentar integrações ativas em +40% (1.276 → 1.786)</t>
  </si>
  <si>
    <t xml:space="preserve">WS1, WS4</t>
  </si>
  <si>
    <t xml:space="preserve">1276</t>
  </si>
  <si>
    <t xml:space="preserve">1786</t>
  </si>
  <si>
    <t xml:space="preserve">KR6</t>
  </si>
  <si>
    <t xml:space="preserve">Crescer corretores ativos MM12m de 20k para 28k (+40%)</t>
  </si>
  <si>
    <t xml:space="preserve">WS2, WS4</t>
  </si>
  <si>
    <t xml:space="preserve">20434</t>
  </si>
  <si>
    <t xml:space="preserve">28607</t>
  </si>
  <si>
    <t xml:space="preserve">🟡 Em linha</t>
  </si>
  <si>
    <t xml:space="preserve">Corrigir (ritmo)</t>
  </si>
  <si>
    <t xml:space="preserve">KR7</t>
  </si>
  <si>
    <t xml:space="preserve">Crescer MRR líquido incorporadoras de R$16k para R$25k/mês</t>
  </si>
  <si>
    <t xml:space="preserve">WS2, WS3, WS7</t>
  </si>
  <si>
    <t xml:space="preserve">16000</t>
  </si>
  <si>
    <t xml:space="preserve">25000</t>
  </si>
  <si>
    <t xml:space="preserve">NOTAS DE COLETA DE DADOS</t>
  </si>
  <si>
    <t xml:space="preserve">KR3: Registrar eventos em WS3/WS5 após cada realização</t>
  </si>
  <si>
    <t xml:space="preserve">KR6: Dado disponível na planilha DD OKRs 2026 → linhas 29-30 (MM12m 2026)</t>
  </si>
  <si>
    <t xml:space="preserve">KR7: Consolidar MRR por praça mensalmente — WS7 + WS3</t>
  </si>
  <si>
    <t xml:space="preserve">KR1/KR2: Manter lista de embaixadoras ativas em WS6</t>
  </si>
  <si>
    <t xml:space="preserve">KR5: Confirmar fonte de dado de integrações ativas com time de produto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</si>
</sst>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b val="true"/>
      <sz val="13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E0E0"/>
        <bgColor rgb="FFE7E6E6"/>
      </patternFill>
    </fill>
    <fill>
      <patternFill patternType="solid">
        <fgColor rgb="FFDEEAF1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7E6E6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26.75"/>
    <col collapsed="false" customWidth="true" hidden="false" outlineLevel="0" max="5" min="5" style="0" width="32.13"/>
    <col collapsed="false" customWidth="true" hidden="false" outlineLevel="0" max="6" min="6" style="0" width="16.89"/>
    <col collapsed="false" customWidth="true" hidden="true" outlineLevel="0" max="7" min="7" style="0" width="14.51"/>
    <col collapsed="false" customWidth="false" hidden="true" outlineLevel="0" max="11" min="8" style="0" width="12.6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15.75" hidden="false" customHeight="tru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/>
      <c r="J2" s="4" t="s">
        <v>20</v>
      </c>
      <c r="K2" s="4" t="s">
        <v>21</v>
      </c>
      <c r="L2" s="5" t="s">
        <v>22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Format="false" ht="15.75" hidden="false" customHeight="true" outlineLevel="0" collapsed="false">
      <c r="A3" s="4" t="s">
        <v>23</v>
      </c>
      <c r="B3" s="4" t="s">
        <v>24</v>
      </c>
      <c r="C3" s="4" t="s">
        <v>14</v>
      </c>
      <c r="D3" s="4" t="s">
        <v>25</v>
      </c>
      <c r="E3" s="4" t="s">
        <v>26</v>
      </c>
      <c r="F3" s="4" t="s">
        <v>27</v>
      </c>
      <c r="G3" s="4" t="s">
        <v>18</v>
      </c>
      <c r="H3" s="4" t="s">
        <v>19</v>
      </c>
      <c r="I3" s="4"/>
      <c r="J3" s="4" t="s">
        <v>20</v>
      </c>
      <c r="K3" s="4" t="s">
        <v>21</v>
      </c>
      <c r="L3" s="5" t="s">
        <v>28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Format="false" ht="15.75" hidden="false" customHeight="true" outlineLevel="0" collapsed="false">
      <c r="A4" s="4" t="s">
        <v>29</v>
      </c>
      <c r="B4" s="4" t="s">
        <v>30</v>
      </c>
      <c r="C4" s="4" t="s">
        <v>14</v>
      </c>
      <c r="D4" s="4" t="s">
        <v>31</v>
      </c>
      <c r="E4" s="4" t="s">
        <v>32</v>
      </c>
      <c r="F4" s="4" t="s">
        <v>33</v>
      </c>
      <c r="G4" s="4" t="s">
        <v>18</v>
      </c>
      <c r="H4" s="4" t="s">
        <v>19</v>
      </c>
      <c r="I4" s="4"/>
      <c r="J4" s="4" t="s">
        <v>20</v>
      </c>
      <c r="K4" s="4" t="s">
        <v>21</v>
      </c>
      <c r="L4" s="5" t="s">
        <v>34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Format="false" ht="15.75" hidden="false" customHeight="true" outlineLevel="0" collapsed="false">
      <c r="A5" s="4" t="s">
        <v>35</v>
      </c>
      <c r="B5" s="4" t="s">
        <v>36</v>
      </c>
      <c r="C5" s="4" t="s">
        <v>14</v>
      </c>
      <c r="D5" s="4" t="s">
        <v>25</v>
      </c>
      <c r="E5" s="4" t="s">
        <v>37</v>
      </c>
      <c r="F5" s="4" t="s">
        <v>38</v>
      </c>
      <c r="G5" s="4" t="s">
        <v>18</v>
      </c>
      <c r="H5" s="4" t="s">
        <v>19</v>
      </c>
      <c r="I5" s="4"/>
      <c r="J5" s="4" t="s">
        <v>20</v>
      </c>
      <c r="K5" s="4" t="s">
        <v>21</v>
      </c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Format="false" ht="15.75" hidden="false" customHeight="true" outlineLevel="0" collapsed="false">
      <c r="A6" s="4" t="s">
        <v>39</v>
      </c>
      <c r="B6" s="4" t="s">
        <v>40</v>
      </c>
      <c r="C6" s="4" t="s">
        <v>14</v>
      </c>
      <c r="D6" s="4" t="s">
        <v>15</v>
      </c>
      <c r="E6" s="4" t="s">
        <v>41</v>
      </c>
      <c r="F6" s="4" t="s">
        <v>42</v>
      </c>
      <c r="G6" s="4" t="s">
        <v>18</v>
      </c>
      <c r="H6" s="4" t="s">
        <v>43</v>
      </c>
      <c r="I6" s="4"/>
      <c r="J6" s="4" t="s">
        <v>20</v>
      </c>
      <c r="K6" s="4" t="s">
        <v>21</v>
      </c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Format="false" ht="15.75" hidden="false" customHeight="true" outlineLevel="0" collapsed="false">
      <c r="A7" s="4" t="s">
        <v>44</v>
      </c>
      <c r="B7" s="4" t="s">
        <v>45</v>
      </c>
      <c r="C7" s="4" t="s">
        <v>14</v>
      </c>
      <c r="D7" s="4" t="s">
        <v>31</v>
      </c>
      <c r="E7" s="4" t="s">
        <v>46</v>
      </c>
      <c r="F7" s="4" t="s">
        <v>47</v>
      </c>
      <c r="G7" s="4" t="s">
        <v>18</v>
      </c>
      <c r="H7" s="4" t="s">
        <v>43</v>
      </c>
      <c r="I7" s="4"/>
      <c r="J7" s="4" t="s">
        <v>20</v>
      </c>
      <c r="K7" s="4" t="s">
        <v>21</v>
      </c>
      <c r="L7" s="5" t="s">
        <v>48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customFormat="false" ht="15.75" hidden="false" customHeight="true" outlineLevel="0" collapsed="false">
      <c r="A8" s="4" t="s">
        <v>49</v>
      </c>
      <c r="B8" s="4" t="s">
        <v>50</v>
      </c>
      <c r="C8" s="4" t="s">
        <v>14</v>
      </c>
      <c r="D8" s="4" t="s">
        <v>31</v>
      </c>
      <c r="E8" s="4" t="s">
        <v>51</v>
      </c>
      <c r="F8" s="4" t="s">
        <v>52</v>
      </c>
      <c r="G8" s="4" t="s">
        <v>18</v>
      </c>
      <c r="H8" s="4" t="s">
        <v>43</v>
      </c>
      <c r="I8" s="4"/>
      <c r="J8" s="4" t="s">
        <v>20</v>
      </c>
      <c r="K8" s="4" t="s">
        <v>21</v>
      </c>
      <c r="L8" s="5" t="s">
        <v>53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customFormat="false" ht="15.75" hidden="false" customHeight="true" outlineLevel="0" collapsed="false">
      <c r="A9" s="4"/>
      <c r="B9" s="6"/>
      <c r="C9" s="4"/>
      <c r="D9" s="4"/>
      <c r="E9" s="4"/>
      <c r="F9" s="4"/>
      <c r="G9" s="4"/>
      <c r="H9" s="4"/>
      <c r="I9" s="4"/>
      <c r="J9" s="4"/>
      <c r="K9" s="4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customFormat="false" ht="15.75" hidden="false" customHeight="true" outlineLevel="0" collapsed="false">
      <c r="A10" s="4"/>
      <c r="B10" s="6"/>
      <c r="C10" s="4"/>
      <c r="D10" s="4"/>
      <c r="E10" s="4"/>
      <c r="F10" s="4"/>
      <c r="G10" s="4"/>
      <c r="H10" s="4"/>
      <c r="I10" s="4"/>
      <c r="J10" s="4"/>
      <c r="K10" s="4"/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customFormat="false" ht="15.75" hidden="false" customHeight="true" outlineLevel="0" collapsed="false">
      <c r="A11" s="4" t="s">
        <v>11</v>
      </c>
      <c r="B11" s="6"/>
      <c r="C11" s="4"/>
      <c r="D11" s="4"/>
      <c r="E11" s="7"/>
      <c r="F11" s="4"/>
      <c r="G11" s="4"/>
      <c r="H11" s="4"/>
      <c r="I11" s="4"/>
      <c r="J11" s="4"/>
      <c r="K11" s="4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customFormat="false" ht="15.75" hidden="false" customHeight="true" outlineLevel="0" collapsed="false">
      <c r="A12" s="4"/>
      <c r="B12" s="6"/>
      <c r="C12" s="4"/>
      <c r="D12" s="4"/>
      <c r="E12" s="7"/>
      <c r="F12" s="4"/>
      <c r="G12" s="4"/>
      <c r="H12" s="4"/>
      <c r="I12" s="4"/>
      <c r="J12" s="4"/>
      <c r="K12" s="4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customFormat="false" ht="15.75" hidden="false" customHeight="true" outlineLevel="0" collapsed="false">
      <c r="A13" s="4"/>
      <c r="B13" s="6"/>
      <c r="C13" s="4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customFormat="false" ht="15.75" hidden="false" customHeight="true" outlineLevel="0" collapsed="false">
      <c r="A14" s="4"/>
      <c r="B14" s="6"/>
      <c r="C14" s="4"/>
      <c r="D14" s="4"/>
      <c r="E14" s="4"/>
      <c r="F14" s="4"/>
      <c r="G14" s="4"/>
      <c r="H14" s="4"/>
      <c r="I14" s="4"/>
      <c r="J14" s="4"/>
      <c r="K14" s="4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customFormat="false" ht="15.75" hidden="false" customHeight="true" outlineLevel="0" collapsed="false">
      <c r="A15" s="4"/>
      <c r="B15" s="6"/>
      <c r="C15" s="4"/>
      <c r="D15" s="4"/>
      <c r="E15" s="4"/>
      <c r="F15" s="4"/>
      <c r="G15" s="4"/>
      <c r="H15" s="4"/>
      <c r="I15" s="4"/>
      <c r="J15" s="4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customFormat="false" ht="15.75" hidden="false" customHeight="true" outlineLevel="0" collapsed="false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customFormat="false" ht="15.75" hidden="false" customHeight="true" outlineLevel="0" collapsed="false">
      <c r="A17" s="4"/>
      <c r="B17" s="6"/>
      <c r="C17" s="4"/>
      <c r="D17" s="4"/>
      <c r="E17" s="4"/>
      <c r="F17" s="4"/>
      <c r="G17" s="4"/>
      <c r="H17" s="4"/>
      <c r="I17" s="4"/>
      <c r="J17" s="4"/>
      <c r="K17" s="4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customFormat="false" ht="15.75" hidden="false" customHeight="true" outlineLevel="0" collapsed="false">
      <c r="A18" s="4"/>
      <c r="B18" s="6"/>
      <c r="C18" s="4"/>
      <c r="D18" s="4"/>
      <c r="E18" s="4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customFormat="false" ht="15.75" hidden="false" customHeight="true" outlineLevel="0" collapsed="false">
      <c r="A19" s="4"/>
      <c r="B19" s="6"/>
      <c r="C19" s="4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customFormat="false" ht="15.75" hidden="false" customHeight="true" outlineLevel="0" collapsed="false">
      <c r="A20" s="4"/>
      <c r="B20" s="6"/>
      <c r="C20" s="4"/>
      <c r="D20" s="4"/>
      <c r="E20" s="4"/>
      <c r="F20" s="4"/>
      <c r="G20" s="4"/>
      <c r="H20" s="4"/>
      <c r="I20" s="4"/>
      <c r="J20" s="4"/>
      <c r="K20" s="4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customFormat="false" ht="15.75" hidden="false" customHeight="true" outlineLevel="0" collapsed="false">
      <c r="A21" s="4"/>
      <c r="B21" s="6"/>
      <c r="C21" s="4"/>
      <c r="D21" s="4"/>
      <c r="E21" s="4"/>
      <c r="F21" s="4"/>
      <c r="G21" s="4"/>
      <c r="H21" s="4"/>
      <c r="I21" s="4"/>
      <c r="J21" s="4"/>
      <c r="K21" s="4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L22" s="5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L23" s="5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L24" s="5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L25" s="5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L26" s="5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L27" s="5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L28" s="5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L29" s="5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L30" s="5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L31" s="5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L32" s="5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L33" s="5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L34" s="5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L35" s="5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L36" s="5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L37" s="5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L38" s="5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L39" s="5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L40" s="5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L41" s="5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L42" s="5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L43" s="5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L44" s="5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L45" s="5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L46" s="5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L47" s="5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L48" s="5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L49" s="5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L50" s="5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L51" s="5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L52" s="5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L53" s="5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L54" s="5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L55" s="5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L56" s="5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L57" s="5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L58" s="5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L59" s="5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L60" s="5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L61" s="5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L62" s="5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L63" s="5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L64" s="5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L65" s="5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L66" s="5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L67" s="5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L68" s="5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L69" s="5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L70" s="5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L71" s="5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L72" s="5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L73" s="5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L74" s="5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L75" s="5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L76" s="5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L77" s="5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L78" s="5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L79" s="5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L80" s="5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L81" s="5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L82" s="5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L83" s="5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L84" s="5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L85" s="5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L86" s="5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L87" s="5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L88" s="5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L89" s="5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L90" s="5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L91" s="5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L92" s="5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L93" s="5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L94" s="5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L95" s="5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L96" s="5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L97" s="5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L98" s="5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L99" s="5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L100" s="5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L101" s="5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L102" s="5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L103" s="5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L104" s="5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L105" s="5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L106" s="5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L107" s="5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L108" s="5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L109" s="5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L110" s="5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L111" s="5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L112" s="5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L113" s="5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L114" s="5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L115" s="5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L116" s="5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L117" s="5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L118" s="5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L119" s="5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L120" s="5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L121" s="5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L122" s="5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L123" s="5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L124" s="5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L125" s="5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L126" s="5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L127" s="5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L128" s="5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L129" s="5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L130" s="5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L131" s="5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L132" s="5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L133" s="5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L134" s="5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L135" s="5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L136" s="5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L137" s="5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L138" s="5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L139" s="5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L140" s="5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L141" s="5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L142" s="5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L143" s="5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L144" s="5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L145" s="5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L146" s="5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L147" s="5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L148" s="5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L149" s="5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L150" s="5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L151" s="5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L152" s="5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L153" s="5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L154" s="5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L155" s="5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L156" s="5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L157" s="5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L158" s="5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L159" s="5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L160" s="5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L161" s="5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L162" s="5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L163" s="5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L164" s="5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L165" s="5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L166" s="5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L167" s="5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L168" s="5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L169" s="5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L170" s="5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L171" s="5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L172" s="5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L173" s="5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L174" s="5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L175" s="5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L176" s="5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L177" s="5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L178" s="5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L179" s="5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L180" s="5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L181" s="5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L182" s="5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L183" s="5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L184" s="5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L185" s="5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L186" s="5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L187" s="5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L188" s="5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L189" s="5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L190" s="5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L191" s="5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L192" s="5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L193" s="5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L194" s="5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L195" s="5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L196" s="5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L197" s="5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L198" s="5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L199" s="5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L200" s="5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L201" s="5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L202" s="5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L203" s="5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L204" s="5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L205" s="5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L206" s="5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L207" s="5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L208" s="5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L209" s="5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L210" s="5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L211" s="5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L212" s="5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L213" s="5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L214" s="5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L215" s="5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L216" s="5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L217" s="5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L218" s="5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L219" s="5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L220" s="5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L221" s="5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L222" s="5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L223" s="5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L224" s="5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L225" s="5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L226" s="5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L227" s="5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L228" s="5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L229" s="5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L230" s="5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L231" s="5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L232" s="5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L233" s="5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L234" s="5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L235" s="5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L236" s="5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L237" s="5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L238" s="5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L239" s="5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L240" s="5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L241" s="5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L242" s="5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L243" s="5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L244" s="5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L245" s="5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L246" s="5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L247" s="5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L248" s="5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L249" s="5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L250" s="5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L251" s="5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L252" s="5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L253" s="5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L254" s="5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L255" s="5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L256" s="5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L257" s="5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L258" s="5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L259" s="5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L260" s="5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L261" s="5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L262" s="5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L263" s="5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L264" s="5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L265" s="5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L266" s="5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L267" s="5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L268" s="5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L269" s="5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L270" s="5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L271" s="5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L272" s="5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L273" s="5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L274" s="5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L275" s="5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L276" s="5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L277" s="5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L278" s="5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L279" s="5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L280" s="5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L281" s="5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L282" s="5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L283" s="5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L284" s="5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L285" s="5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L286" s="5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L287" s="5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L288" s="5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L289" s="5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L290" s="5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L291" s="5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L292" s="5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L293" s="5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L294" s="5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L295" s="5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L296" s="5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L297" s="5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L298" s="5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L299" s="5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L300" s="5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L301" s="5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L302" s="5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L303" s="5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L304" s="5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L305" s="5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L306" s="5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L307" s="5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L308" s="5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L309" s="5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L310" s="5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L311" s="5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L312" s="5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L313" s="5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L314" s="5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L315" s="5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L316" s="5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L317" s="5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L318" s="5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L319" s="5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L320" s="5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L321" s="5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L322" s="5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L323" s="5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L324" s="5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L325" s="5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L326" s="5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L327" s="5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L328" s="5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L329" s="5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L330" s="5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L331" s="5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L332" s="5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L333" s="5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L334" s="5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L335" s="5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L336" s="5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L337" s="5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L338" s="5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L339" s="5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L340" s="5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L341" s="5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L342" s="5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L343" s="5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L344" s="5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L345" s="5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L346" s="5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L347" s="5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L348" s="5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L349" s="5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L350" s="5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L351" s="5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L352" s="5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L353" s="5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L354" s="5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L355" s="5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L356" s="5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L357" s="5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L358" s="5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L359" s="5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L360" s="5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L361" s="5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L362" s="5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L363" s="5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L364" s="5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L365" s="5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L366" s="5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L367" s="5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L368" s="5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L369" s="5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L370" s="5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L371" s="5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L372" s="5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L373" s="5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L374" s="5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L375" s="5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L376" s="5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L377" s="5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L378" s="5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L379" s="5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L380" s="5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L381" s="5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L382" s="5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L383" s="5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L384" s="5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L385" s="5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L386" s="5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L387" s="5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L388" s="5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L389" s="5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L390" s="5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L391" s="5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L392" s="5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L393" s="5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L394" s="5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L395" s="5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L396" s="5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L397" s="5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L398" s="5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L399" s="5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L400" s="5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L401" s="5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L402" s="5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L403" s="5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L404" s="5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L405" s="5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L406" s="5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L407" s="5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L408" s="5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L409" s="5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L410" s="5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L411" s="5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L412" s="5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L413" s="5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L414" s="5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L415" s="5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L416" s="5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L417" s="5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L418" s="5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L419" s="5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L420" s="5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L421" s="5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L422" s="5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L423" s="5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L424" s="5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L425" s="5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L426" s="5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L427" s="5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L428" s="5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L429" s="5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L430" s="5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L431" s="5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L432" s="5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L433" s="5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L434" s="5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L435" s="5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L436" s="5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L437" s="5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L438" s="5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L439" s="5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L440" s="5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L441" s="5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L442" s="5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L443" s="5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L444" s="5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L445" s="5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L446" s="5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L447" s="5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L448" s="5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L449" s="5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L450" s="5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L451" s="5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L452" s="5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L453" s="5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L454" s="5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L455" s="5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L456" s="5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L457" s="5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L458" s="5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L459" s="5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L460" s="5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L461" s="5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L462" s="5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L463" s="5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L464" s="5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L465" s="5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L466" s="5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L467" s="5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L468" s="5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L469" s="5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L470" s="5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L471" s="5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L472" s="5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L473" s="5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L474" s="5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L475" s="5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L476" s="5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L477" s="5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L478" s="5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L479" s="5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L480" s="5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L481" s="5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L482" s="5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L483" s="5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L484" s="5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L485" s="5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L486" s="5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L487" s="5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L488" s="5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L489" s="5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L490" s="5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L491" s="5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L492" s="5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L493" s="5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L494" s="5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L495" s="5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L496" s="5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L497" s="5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L498" s="5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L499" s="5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L500" s="5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L501" s="5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L502" s="5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L503" s="5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L504" s="5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L505" s="5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L506" s="5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L507" s="5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L508" s="5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L509" s="5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L510" s="5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L511" s="5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L512" s="5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L513" s="5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L514" s="5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L515" s="5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L516" s="5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L517" s="5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L518" s="5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L519" s="5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L520" s="5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L521" s="5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L522" s="5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L523" s="5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L524" s="5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L525" s="5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L526" s="5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L527" s="5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L528" s="5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L529" s="5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L530" s="5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L531" s="5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L532" s="5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L533" s="5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L534" s="5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L535" s="5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L536" s="5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L537" s="5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L538" s="5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L539" s="5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L540" s="5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L541" s="5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L542" s="5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L543" s="5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L544" s="5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L545" s="5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L546" s="5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L547" s="5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L548" s="5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L549" s="5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L550" s="5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L551" s="5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L552" s="5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L553" s="5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L554" s="5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L555" s="5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L556" s="5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L557" s="5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L558" s="5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L559" s="5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L560" s="5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L561" s="5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L562" s="5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L563" s="5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L564" s="5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L565" s="5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L566" s="5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L567" s="5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L568" s="5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L569" s="5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L570" s="5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L571" s="5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L572" s="5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L573" s="5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L574" s="5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L575" s="5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L576" s="5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L577" s="5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L578" s="5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L579" s="5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L580" s="5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L581" s="5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L582" s="5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L583" s="5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L584" s="5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L585" s="5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L586" s="5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L587" s="5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L588" s="5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L589" s="5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L590" s="5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L591" s="5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L592" s="5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L593" s="5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L594" s="5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L595" s="5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L596" s="5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L597" s="5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L598" s="5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L599" s="5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L600" s="5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L601" s="5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L602" s="5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L603" s="5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L604" s="5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L605" s="5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L606" s="5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L607" s="5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L608" s="5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L609" s="5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L610" s="5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L611" s="5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L612" s="5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L613" s="5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L614" s="5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L615" s="5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L616" s="5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L617" s="5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L618" s="5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L619" s="5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L620" s="5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L621" s="5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L622" s="5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L623" s="5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L624" s="5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L625" s="5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L626" s="5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L627" s="5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L628" s="5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L629" s="5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L630" s="5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L631" s="5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L632" s="5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L633" s="5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L634" s="5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L635" s="5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L636" s="5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L637" s="5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L638" s="5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L639" s="5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L640" s="5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L641" s="5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L642" s="5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L643" s="5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L644" s="5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L645" s="5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L646" s="5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L647" s="5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L648" s="5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L649" s="5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L650" s="5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L651" s="5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L652" s="5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L653" s="5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L654" s="5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L655" s="5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L656" s="5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L657" s="5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L658" s="5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L659" s="5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L660" s="5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L661" s="5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L662" s="5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L663" s="5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L664" s="5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L665" s="5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L666" s="5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L667" s="5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L668" s="5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L669" s="5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L670" s="5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L671" s="5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L672" s="5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L673" s="5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L674" s="5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L675" s="5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L676" s="5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L677" s="5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L678" s="5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L679" s="5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L680" s="5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L681" s="5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L682" s="5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L683" s="5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L684" s="5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L685" s="5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L686" s="5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L687" s="5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L688" s="5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L689" s="5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L690" s="5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L691" s="5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L692" s="5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L693" s="5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L694" s="5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L695" s="5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L696" s="5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L697" s="5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L698" s="5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L699" s="5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L700" s="5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L701" s="5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L702" s="5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L703" s="5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L704" s="5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L705" s="5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L706" s="5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L707" s="5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L708" s="5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L709" s="5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L710" s="5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L711" s="5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L712" s="5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L713" s="5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L714" s="5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L715" s="5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L716" s="5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L717" s="5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L718" s="5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L719" s="5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L720" s="5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L721" s="5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L722" s="5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L723" s="5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L724" s="5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L725" s="5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L726" s="5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L727" s="5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L728" s="5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L729" s="5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L730" s="5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L731" s="5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L732" s="5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L733" s="5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L734" s="5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L735" s="5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L736" s="5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L737" s="5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L738" s="5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L739" s="5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L740" s="5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L741" s="5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L742" s="5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L743" s="5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L744" s="5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L745" s="5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L746" s="5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L747" s="5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L748" s="5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L749" s="5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L750" s="5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L751" s="5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L752" s="5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L753" s="5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L754" s="5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L755" s="5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L756" s="5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L757" s="5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L758" s="5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L759" s="5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L760" s="5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L761" s="5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L762" s="5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L763" s="5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L764" s="5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L765" s="5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L766" s="5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L767" s="5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L768" s="5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L769" s="5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L770" s="5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L771" s="5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L772" s="5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L773" s="5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L774" s="5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L775" s="5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L776" s="5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L777" s="5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L778" s="5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L779" s="5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L780" s="5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L781" s="5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L782" s="5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L783" s="5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L784" s="5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L785" s="5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L786" s="5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L787" s="5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L788" s="5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L789" s="5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L790" s="5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L791" s="5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L792" s="5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L793" s="5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L794" s="5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L795" s="5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L796" s="5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L797" s="5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L798" s="5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L799" s="5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L800" s="5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L801" s="5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L802" s="5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L803" s="5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L804" s="5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L805" s="5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L806" s="5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L807" s="5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L808" s="5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L809" s="5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L810" s="5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L811" s="5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L812" s="5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L813" s="5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L814" s="5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L815" s="5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L816" s="5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L817" s="5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L818" s="5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L819" s="5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L820" s="5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L821" s="5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L822" s="5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L823" s="5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L824" s="5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L825" s="5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L826" s="5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L827" s="5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L828" s="5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L829" s="5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L830" s="5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L831" s="5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L832" s="5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L833" s="5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L834" s="5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L835" s="5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L836" s="5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L837" s="5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L838" s="5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L839" s="5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L840" s="5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L841" s="5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L842" s="5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L843" s="5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L844" s="5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L845" s="5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L846" s="5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L847" s="5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L848" s="5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L849" s="5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L850" s="5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L851" s="5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L852" s="5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L853" s="5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L854" s="5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L855" s="5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L856" s="5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L857" s="5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L858" s="5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L859" s="5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L860" s="5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L861" s="5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L862" s="5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L863" s="5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L864" s="5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L865" s="5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L866" s="5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L867" s="5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L868" s="5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L869" s="5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L870" s="5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L871" s="5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L872" s="5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L873" s="5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L874" s="5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L875" s="5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L876" s="5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L877" s="5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L878" s="5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L879" s="5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L880" s="5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L881" s="5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L882" s="5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L883" s="5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L884" s="5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L885" s="5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L886" s="5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L887" s="5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L888" s="5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L889" s="5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L890" s="5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L891" s="5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L892" s="5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L893" s="5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L894" s="5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L895" s="5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L896" s="5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L897" s="5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L898" s="5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L899" s="5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L900" s="5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L901" s="5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L902" s="5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L903" s="5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L904" s="5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L905" s="5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L906" s="5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L907" s="5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L908" s="5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L909" s="5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L910" s="5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L911" s="5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L912" s="5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L913" s="5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L914" s="5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L915" s="5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L916" s="5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L917" s="5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L918" s="5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L919" s="5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L920" s="5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L921" s="5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L922" s="5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L923" s="5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L924" s="5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L925" s="5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L926" s="5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L927" s="5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L928" s="5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L929" s="5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L930" s="5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L931" s="5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L932" s="5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L933" s="5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L934" s="5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L935" s="5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L936" s="5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L937" s="5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L938" s="5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L939" s="5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L940" s="5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L941" s="5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L942" s="5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L943" s="5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L944" s="5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L945" s="5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L946" s="5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L947" s="5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L948" s="5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L949" s="5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L950" s="5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L951" s="5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L952" s="5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L953" s="5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L954" s="5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L955" s="5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L956" s="5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L957" s="5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L958" s="5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L959" s="5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L960" s="5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L961" s="5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L962" s="5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L963" s="5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L964" s="5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L965" s="5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L966" s="5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L967" s="5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L968" s="5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L969" s="5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L970" s="5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L971" s="5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L972" s="5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L973" s="5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L974" s="5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L975" s="5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L976" s="5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L977" s="5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L978" s="5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L979" s="5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L980" s="5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L981" s="5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L982" s="5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L983" s="5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L984" s="5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L985" s="5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L986" s="5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L987" s="5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L988" s="5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L989" s="5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L990" s="5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L991" s="5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L992" s="5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L993" s="5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L994" s="5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L995" s="5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L996" s="5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L997" s="5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L998" s="5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L999" s="5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L100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0" width="10.25"/>
    <col collapsed="false" customWidth="true" hidden="false" outlineLevel="0" max="3" min="3" style="0" width="10.88"/>
    <col collapsed="false" customWidth="true" hidden="false" outlineLevel="0" max="4" min="4" style="0" width="22.88"/>
    <col collapsed="false" customWidth="true" hidden="false" outlineLevel="0" max="5" min="5" style="0" width="40.63"/>
    <col collapsed="false" customWidth="true" hidden="false" outlineLevel="0" max="10" min="10" style="0" width="31.25"/>
    <col collapsed="false" customWidth="true" hidden="false" outlineLevel="0" max="12" min="12" style="0" width="42.63"/>
  </cols>
  <sheetData>
    <row r="1" customFormat="false" ht="15.75" hidden="false" customHeight="true" outlineLevel="0" collapsed="false">
      <c r="A1" s="8" t="s">
        <v>0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7</v>
      </c>
      <c r="H1" s="8" t="s">
        <v>59</v>
      </c>
      <c r="I1" s="8" t="s">
        <v>60</v>
      </c>
      <c r="J1" s="8" t="s">
        <v>61</v>
      </c>
      <c r="K1" s="8" t="s">
        <v>6</v>
      </c>
      <c r="L1" s="8" t="s">
        <v>11</v>
      </c>
    </row>
    <row r="2" customFormat="false" ht="15.75" hidden="false" customHeight="true" outlineLevel="0" collapsed="false">
      <c r="A2" s="8" t="s">
        <v>12</v>
      </c>
      <c r="B2" s="8" t="s">
        <v>62</v>
      </c>
      <c r="C2" s="8" t="s">
        <v>63</v>
      </c>
      <c r="D2" s="8" t="s">
        <v>64</v>
      </c>
      <c r="E2" s="8" t="s">
        <v>65</v>
      </c>
      <c r="F2" s="8" t="s">
        <v>66</v>
      </c>
      <c r="G2" s="8" t="s">
        <v>19</v>
      </c>
      <c r="H2" s="8" t="s">
        <v>15</v>
      </c>
      <c r="J2" s="8" t="s">
        <v>67</v>
      </c>
      <c r="K2" s="8" t="s">
        <v>68</v>
      </c>
      <c r="L2" s="8" t="s">
        <v>69</v>
      </c>
    </row>
    <row r="3" customFormat="false" ht="15.75" hidden="false" customHeight="true" outlineLevel="0" collapsed="false">
      <c r="A3" s="8" t="s">
        <v>12</v>
      </c>
      <c r="B3" s="8" t="s">
        <v>62</v>
      </c>
      <c r="C3" s="8" t="s">
        <v>70</v>
      </c>
      <c r="D3" s="8" t="s">
        <v>71</v>
      </c>
      <c r="E3" s="8" t="s">
        <v>72</v>
      </c>
      <c r="F3" s="8" t="s">
        <v>66</v>
      </c>
      <c r="G3" s="8" t="s">
        <v>19</v>
      </c>
      <c r="H3" s="8" t="s">
        <v>15</v>
      </c>
      <c r="J3" s="8" t="s">
        <v>73</v>
      </c>
      <c r="K3" s="8" t="s">
        <v>68</v>
      </c>
      <c r="L3" s="8" t="s">
        <v>74</v>
      </c>
    </row>
    <row r="4" customFormat="false" ht="15.75" hidden="false" customHeight="true" outlineLevel="0" collapsed="false">
      <c r="A4" s="8" t="s">
        <v>12</v>
      </c>
      <c r="B4" s="8" t="s">
        <v>62</v>
      </c>
      <c r="C4" s="8" t="s">
        <v>75</v>
      </c>
      <c r="D4" s="8" t="s">
        <v>76</v>
      </c>
      <c r="E4" s="8" t="s">
        <v>77</v>
      </c>
      <c r="F4" s="8" t="s">
        <v>66</v>
      </c>
      <c r="G4" s="8" t="s">
        <v>19</v>
      </c>
      <c r="H4" s="8" t="s">
        <v>15</v>
      </c>
      <c r="J4" s="8" t="s">
        <v>78</v>
      </c>
      <c r="K4" s="8" t="s">
        <v>68</v>
      </c>
      <c r="L4" s="8" t="s">
        <v>79</v>
      </c>
    </row>
    <row r="5" customFormat="false" ht="15.75" hidden="false" customHeight="true" outlineLevel="0" collapsed="false">
      <c r="A5" s="8" t="s">
        <v>12</v>
      </c>
      <c r="B5" s="8" t="s">
        <v>62</v>
      </c>
      <c r="C5" s="8" t="s">
        <v>80</v>
      </c>
      <c r="D5" s="8" t="s">
        <v>81</v>
      </c>
      <c r="E5" s="8" t="s">
        <v>82</v>
      </c>
      <c r="F5" s="8" t="s">
        <v>83</v>
      </c>
      <c r="G5" s="8" t="s">
        <v>43</v>
      </c>
      <c r="H5" s="8" t="s">
        <v>15</v>
      </c>
      <c r="J5" s="8" t="s">
        <v>84</v>
      </c>
      <c r="K5" s="8" t="s">
        <v>68</v>
      </c>
      <c r="L5" s="8" t="s">
        <v>85</v>
      </c>
    </row>
    <row r="6" customFormat="false" ht="15.75" hidden="false" customHeight="true" outlineLevel="0" collapsed="false">
      <c r="A6" s="8" t="s">
        <v>12</v>
      </c>
      <c r="B6" s="8" t="s">
        <v>62</v>
      </c>
      <c r="C6" s="8" t="s">
        <v>86</v>
      </c>
      <c r="D6" s="8" t="s">
        <v>87</v>
      </c>
      <c r="E6" s="8" t="s">
        <v>88</v>
      </c>
      <c r="F6" s="8" t="s">
        <v>89</v>
      </c>
      <c r="G6" s="8" t="s">
        <v>43</v>
      </c>
      <c r="H6" s="8" t="s">
        <v>15</v>
      </c>
      <c r="J6" s="8" t="s">
        <v>90</v>
      </c>
      <c r="K6" s="8" t="s">
        <v>68</v>
      </c>
      <c r="L6" s="8" t="s">
        <v>91</v>
      </c>
    </row>
    <row r="7" customFormat="false" ht="15.75" hidden="false" customHeight="true" outlineLevel="0" collapsed="false">
      <c r="A7" s="8" t="s">
        <v>12</v>
      </c>
      <c r="B7" s="8" t="s">
        <v>62</v>
      </c>
      <c r="C7" s="8" t="s">
        <v>92</v>
      </c>
      <c r="D7" s="8" t="s">
        <v>93</v>
      </c>
      <c r="E7" s="8" t="s">
        <v>94</v>
      </c>
      <c r="F7" s="8" t="s">
        <v>95</v>
      </c>
      <c r="G7" s="8" t="s">
        <v>19</v>
      </c>
      <c r="H7" s="8" t="s">
        <v>15</v>
      </c>
      <c r="J7" s="8" t="s">
        <v>96</v>
      </c>
      <c r="K7" s="8" t="s">
        <v>68</v>
      </c>
      <c r="L7" s="8" t="s">
        <v>97</v>
      </c>
    </row>
    <row r="8" customFormat="false" ht="15.75" hidden="false" customHeight="true" outlineLevel="0" collapsed="false">
      <c r="A8" s="8" t="s">
        <v>12</v>
      </c>
      <c r="B8" s="8" t="s">
        <v>62</v>
      </c>
      <c r="C8" s="8" t="s">
        <v>98</v>
      </c>
      <c r="D8" s="8" t="s">
        <v>99</v>
      </c>
      <c r="E8" s="8" t="s">
        <v>100</v>
      </c>
      <c r="F8" s="8" t="s">
        <v>83</v>
      </c>
      <c r="G8" s="8" t="s">
        <v>19</v>
      </c>
      <c r="H8" s="8" t="s">
        <v>15</v>
      </c>
      <c r="J8" s="8" t="s">
        <v>101</v>
      </c>
      <c r="K8" s="8" t="s">
        <v>68</v>
      </c>
      <c r="L8" s="8" t="s">
        <v>102</v>
      </c>
    </row>
    <row r="9" customFormat="false" ht="15.75" hidden="false" customHeight="true" outlineLevel="0" collapsed="false">
      <c r="A9" s="8" t="s">
        <v>12</v>
      </c>
      <c r="B9" s="8" t="s">
        <v>62</v>
      </c>
      <c r="C9" s="8" t="s">
        <v>103</v>
      </c>
      <c r="D9" s="8" t="s">
        <v>104</v>
      </c>
      <c r="E9" s="8" t="s">
        <v>105</v>
      </c>
      <c r="F9" s="8" t="s">
        <v>83</v>
      </c>
      <c r="G9" s="8" t="s">
        <v>43</v>
      </c>
      <c r="H9" s="8" t="s">
        <v>15</v>
      </c>
      <c r="J9" s="8" t="s">
        <v>106</v>
      </c>
      <c r="K9" s="8" t="s">
        <v>68</v>
      </c>
      <c r="L9" s="8" t="s">
        <v>107</v>
      </c>
    </row>
    <row r="10" customFormat="false" ht="15.75" hidden="false" customHeight="true" outlineLevel="0" collapsed="false">
      <c r="A10" s="8" t="s">
        <v>12</v>
      </c>
      <c r="B10" s="8" t="s">
        <v>62</v>
      </c>
      <c r="C10" s="8" t="s">
        <v>108</v>
      </c>
      <c r="D10" s="8" t="s">
        <v>109</v>
      </c>
      <c r="E10" s="8" t="s">
        <v>110</v>
      </c>
      <c r="F10" s="8" t="s">
        <v>66</v>
      </c>
      <c r="G10" s="8" t="s">
        <v>43</v>
      </c>
      <c r="H10" s="8" t="s">
        <v>15</v>
      </c>
      <c r="J10" s="8" t="s">
        <v>111</v>
      </c>
      <c r="K10" s="8" t="s">
        <v>68</v>
      </c>
      <c r="L10" s="8" t="s">
        <v>112</v>
      </c>
    </row>
    <row r="11" customFormat="false" ht="15.75" hidden="false" customHeight="true" outlineLevel="0" collapsed="false">
      <c r="A11" s="8" t="s">
        <v>12</v>
      </c>
      <c r="B11" s="8" t="s">
        <v>62</v>
      </c>
      <c r="C11" s="8" t="s">
        <v>113</v>
      </c>
      <c r="D11" s="8" t="s">
        <v>114</v>
      </c>
      <c r="E11" s="8" t="s">
        <v>115</v>
      </c>
      <c r="F11" s="8" t="s">
        <v>89</v>
      </c>
      <c r="G11" s="8" t="s">
        <v>43</v>
      </c>
      <c r="H11" s="8" t="s">
        <v>15</v>
      </c>
      <c r="J11" s="8" t="s">
        <v>116</v>
      </c>
      <c r="K11" s="8" t="s">
        <v>68</v>
      </c>
      <c r="L11" s="8" t="s">
        <v>117</v>
      </c>
    </row>
    <row r="12" customFormat="false" ht="15.75" hidden="false" customHeight="true" outlineLevel="0" collapsed="false">
      <c r="A12" s="8" t="s">
        <v>23</v>
      </c>
      <c r="B12" s="8" t="s">
        <v>62</v>
      </c>
      <c r="C12" s="8" t="s">
        <v>118</v>
      </c>
      <c r="D12" s="8" t="s">
        <v>119</v>
      </c>
      <c r="E12" s="8" t="s">
        <v>120</v>
      </c>
      <c r="F12" s="8" t="s">
        <v>66</v>
      </c>
      <c r="G12" s="8" t="s">
        <v>19</v>
      </c>
      <c r="H12" s="8" t="s">
        <v>25</v>
      </c>
      <c r="J12" s="8" t="s">
        <v>121</v>
      </c>
      <c r="K12" s="8" t="s">
        <v>68</v>
      </c>
      <c r="L12" s="8" t="s">
        <v>122</v>
      </c>
    </row>
    <row r="13" customFormat="false" ht="15.75" hidden="false" customHeight="true" outlineLevel="0" collapsed="false">
      <c r="A13" s="8" t="s">
        <v>23</v>
      </c>
      <c r="B13" s="8" t="s">
        <v>62</v>
      </c>
      <c r="C13" s="8" t="s">
        <v>123</v>
      </c>
      <c r="D13" s="8" t="s">
        <v>124</v>
      </c>
      <c r="E13" s="8" t="s">
        <v>125</v>
      </c>
      <c r="F13" s="8" t="s">
        <v>66</v>
      </c>
      <c r="G13" s="8" t="s">
        <v>19</v>
      </c>
      <c r="H13" s="8" t="s">
        <v>25</v>
      </c>
      <c r="J13" s="8" t="s">
        <v>126</v>
      </c>
      <c r="K13" s="8" t="s">
        <v>68</v>
      </c>
      <c r="L13" s="8" t="s">
        <v>122</v>
      </c>
    </row>
    <row r="14" customFormat="false" ht="15.75" hidden="false" customHeight="true" outlineLevel="0" collapsed="false">
      <c r="A14" s="8" t="s">
        <v>23</v>
      </c>
      <c r="B14" s="8" t="s">
        <v>62</v>
      </c>
      <c r="C14" s="8" t="s">
        <v>127</v>
      </c>
      <c r="D14" s="8" t="s">
        <v>128</v>
      </c>
      <c r="E14" s="8" t="s">
        <v>129</v>
      </c>
      <c r="F14" s="8" t="s">
        <v>66</v>
      </c>
      <c r="G14" s="8" t="s">
        <v>19</v>
      </c>
      <c r="H14" s="8" t="s">
        <v>25</v>
      </c>
      <c r="J14" s="8" t="s">
        <v>130</v>
      </c>
      <c r="K14" s="8" t="s">
        <v>68</v>
      </c>
      <c r="L14" s="8" t="s">
        <v>122</v>
      </c>
    </row>
    <row r="15" customFormat="false" ht="15.75" hidden="false" customHeight="true" outlineLevel="0" collapsed="false">
      <c r="A15" s="8" t="s">
        <v>23</v>
      </c>
      <c r="B15" s="8" t="s">
        <v>62</v>
      </c>
      <c r="C15" s="8" t="s">
        <v>131</v>
      </c>
      <c r="D15" s="8" t="s">
        <v>132</v>
      </c>
      <c r="E15" s="8" t="s">
        <v>133</v>
      </c>
      <c r="F15" s="8" t="s">
        <v>66</v>
      </c>
      <c r="G15" s="8" t="s">
        <v>19</v>
      </c>
      <c r="H15" s="8" t="s">
        <v>25</v>
      </c>
      <c r="J15" s="8" t="s">
        <v>134</v>
      </c>
      <c r="K15" s="8" t="s">
        <v>68</v>
      </c>
      <c r="L15" s="8" t="s">
        <v>122</v>
      </c>
    </row>
    <row r="16" customFormat="false" ht="15.75" hidden="false" customHeight="true" outlineLevel="0" collapsed="false">
      <c r="A16" s="8" t="s">
        <v>23</v>
      </c>
      <c r="B16" s="8" t="s">
        <v>62</v>
      </c>
      <c r="C16" s="8" t="s">
        <v>135</v>
      </c>
      <c r="D16" s="8" t="s">
        <v>87</v>
      </c>
      <c r="E16" s="8" t="s">
        <v>136</v>
      </c>
      <c r="F16" s="8" t="s">
        <v>89</v>
      </c>
      <c r="G16" s="8" t="s">
        <v>19</v>
      </c>
      <c r="H16" s="8" t="s">
        <v>25</v>
      </c>
      <c r="J16" s="8" t="s">
        <v>137</v>
      </c>
      <c r="K16" s="8" t="s">
        <v>68</v>
      </c>
      <c r="L16" s="8" t="s">
        <v>122</v>
      </c>
    </row>
    <row r="17" customFormat="false" ht="15.75" hidden="false" customHeight="true" outlineLevel="0" collapsed="false">
      <c r="A17" s="8" t="s">
        <v>23</v>
      </c>
      <c r="B17" s="8" t="s">
        <v>62</v>
      </c>
      <c r="C17" s="8" t="s">
        <v>138</v>
      </c>
      <c r="D17" s="8" t="s">
        <v>139</v>
      </c>
      <c r="E17" s="8" t="s">
        <v>140</v>
      </c>
      <c r="F17" s="8" t="s">
        <v>95</v>
      </c>
      <c r="G17" s="8" t="s">
        <v>19</v>
      </c>
      <c r="H17" s="8" t="s">
        <v>25</v>
      </c>
      <c r="J17" s="8" t="s">
        <v>141</v>
      </c>
      <c r="K17" s="8" t="s">
        <v>68</v>
      </c>
      <c r="L17" s="8" t="s">
        <v>142</v>
      </c>
    </row>
    <row r="18" customFormat="false" ht="15.75" hidden="false" customHeight="true" outlineLevel="0" collapsed="false">
      <c r="A18" s="8" t="s">
        <v>23</v>
      </c>
      <c r="B18" s="8" t="s">
        <v>62</v>
      </c>
      <c r="C18" s="8" t="s">
        <v>143</v>
      </c>
      <c r="D18" s="8" t="s">
        <v>144</v>
      </c>
      <c r="E18" s="8" t="s">
        <v>145</v>
      </c>
      <c r="F18" s="8" t="s">
        <v>95</v>
      </c>
      <c r="G18" s="8" t="s">
        <v>19</v>
      </c>
      <c r="H18" s="8" t="s">
        <v>25</v>
      </c>
      <c r="J18" s="8" t="s">
        <v>146</v>
      </c>
      <c r="K18" s="8" t="s">
        <v>68</v>
      </c>
      <c r="L18" s="8" t="s">
        <v>142</v>
      </c>
    </row>
    <row r="19" customFormat="false" ht="15.75" hidden="false" customHeight="true" outlineLevel="0" collapsed="false">
      <c r="A19" s="8" t="s">
        <v>23</v>
      </c>
      <c r="B19" s="8" t="s">
        <v>62</v>
      </c>
      <c r="C19" s="8" t="s">
        <v>147</v>
      </c>
      <c r="D19" s="8" t="s">
        <v>148</v>
      </c>
      <c r="E19" s="8" t="s">
        <v>149</v>
      </c>
      <c r="F19" s="8" t="s">
        <v>66</v>
      </c>
      <c r="G19" s="8" t="s">
        <v>19</v>
      </c>
      <c r="H19" s="8" t="s">
        <v>25</v>
      </c>
      <c r="J19" s="8" t="s">
        <v>150</v>
      </c>
      <c r="K19" s="8" t="s">
        <v>68</v>
      </c>
      <c r="L19" s="8" t="s">
        <v>142</v>
      </c>
    </row>
    <row r="20" customFormat="false" ht="15.75" hidden="false" customHeight="true" outlineLevel="0" collapsed="false">
      <c r="A20" s="8" t="s">
        <v>23</v>
      </c>
      <c r="B20" s="8" t="s">
        <v>62</v>
      </c>
      <c r="C20" s="8" t="s">
        <v>151</v>
      </c>
      <c r="D20" s="8" t="s">
        <v>152</v>
      </c>
      <c r="E20" s="8" t="s">
        <v>153</v>
      </c>
      <c r="F20" s="8" t="s">
        <v>83</v>
      </c>
      <c r="G20" s="8" t="s">
        <v>19</v>
      </c>
      <c r="H20" s="8" t="s">
        <v>25</v>
      </c>
      <c r="J20" s="8" t="s">
        <v>154</v>
      </c>
      <c r="K20" s="8" t="s">
        <v>68</v>
      </c>
      <c r="L20" s="8" t="s">
        <v>142</v>
      </c>
    </row>
    <row r="21" customFormat="false" ht="15.75" hidden="false" customHeight="true" outlineLevel="0" collapsed="false">
      <c r="A21" s="8" t="s">
        <v>23</v>
      </c>
      <c r="B21" s="8" t="s">
        <v>62</v>
      </c>
      <c r="C21" s="8" t="s">
        <v>155</v>
      </c>
      <c r="D21" s="8" t="s">
        <v>114</v>
      </c>
      <c r="E21" s="8" t="s">
        <v>156</v>
      </c>
      <c r="F21" s="8" t="s">
        <v>89</v>
      </c>
      <c r="G21" s="8" t="s">
        <v>19</v>
      </c>
      <c r="H21" s="8" t="s">
        <v>25</v>
      </c>
      <c r="J21" s="8" t="s">
        <v>157</v>
      </c>
      <c r="K21" s="8" t="s">
        <v>68</v>
      </c>
      <c r="L21" s="8" t="s">
        <v>142</v>
      </c>
    </row>
    <row r="22" customFormat="false" ht="15.75" hidden="true" customHeight="true" outlineLevel="0" collapsed="false">
      <c r="A22" s="8" t="s">
        <v>23</v>
      </c>
      <c r="B22" s="8" t="s">
        <v>62</v>
      </c>
      <c r="C22" s="8" t="s">
        <v>158</v>
      </c>
      <c r="D22" s="8" t="s">
        <v>159</v>
      </c>
      <c r="E22" s="8" t="s">
        <v>160</v>
      </c>
      <c r="F22" s="8" t="s">
        <v>66</v>
      </c>
      <c r="G22" s="8" t="s">
        <v>19</v>
      </c>
      <c r="H22" s="8" t="s">
        <v>25</v>
      </c>
      <c r="J22" s="8" t="s">
        <v>161</v>
      </c>
      <c r="K22" s="8" t="s">
        <v>68</v>
      </c>
      <c r="L22" s="8" t="s">
        <v>162</v>
      </c>
    </row>
    <row r="23" customFormat="false" ht="15.75" hidden="false" customHeight="true" outlineLevel="0" collapsed="false">
      <c r="A23" s="8" t="s">
        <v>29</v>
      </c>
      <c r="B23" s="8" t="s">
        <v>62</v>
      </c>
      <c r="C23" s="8" t="s">
        <v>163</v>
      </c>
      <c r="D23" s="8" t="s">
        <v>164</v>
      </c>
      <c r="E23" s="8" t="s">
        <v>165</v>
      </c>
      <c r="F23" s="8" t="s">
        <v>66</v>
      </c>
      <c r="G23" s="8" t="s">
        <v>19</v>
      </c>
      <c r="H23" s="8" t="s">
        <v>31</v>
      </c>
      <c r="J23" s="8" t="s">
        <v>166</v>
      </c>
      <c r="K23" s="8" t="s">
        <v>68</v>
      </c>
      <c r="L23" s="8" t="s">
        <v>167</v>
      </c>
    </row>
    <row r="24" customFormat="false" ht="15.75" hidden="false" customHeight="true" outlineLevel="0" collapsed="false">
      <c r="A24" s="8" t="s">
        <v>29</v>
      </c>
      <c r="B24" s="8" t="s">
        <v>62</v>
      </c>
      <c r="C24" s="8" t="s">
        <v>168</v>
      </c>
      <c r="D24" s="8" t="s">
        <v>169</v>
      </c>
      <c r="E24" s="8" t="s">
        <v>170</v>
      </c>
      <c r="F24" s="8" t="s">
        <v>66</v>
      </c>
      <c r="G24" s="8" t="s">
        <v>19</v>
      </c>
      <c r="H24" s="8" t="s">
        <v>31</v>
      </c>
      <c r="J24" s="8" t="s">
        <v>171</v>
      </c>
      <c r="K24" s="8" t="s">
        <v>68</v>
      </c>
      <c r="L24" s="8" t="s">
        <v>172</v>
      </c>
    </row>
    <row r="25" customFormat="false" ht="15.75" hidden="false" customHeight="true" outlineLevel="0" collapsed="false">
      <c r="A25" s="8" t="s">
        <v>29</v>
      </c>
      <c r="B25" s="8" t="s">
        <v>62</v>
      </c>
      <c r="C25" s="8" t="s">
        <v>173</v>
      </c>
      <c r="D25" s="8" t="s">
        <v>174</v>
      </c>
      <c r="E25" s="8" t="s">
        <v>175</v>
      </c>
      <c r="F25" s="8" t="s">
        <v>66</v>
      </c>
      <c r="G25" s="8" t="s">
        <v>19</v>
      </c>
      <c r="H25" s="8" t="s">
        <v>31</v>
      </c>
      <c r="J25" s="8" t="s">
        <v>176</v>
      </c>
      <c r="K25" s="8" t="s">
        <v>68</v>
      </c>
      <c r="L25" s="8" t="s">
        <v>177</v>
      </c>
    </row>
    <row r="26" customFormat="false" ht="15.75" hidden="false" customHeight="true" outlineLevel="0" collapsed="false">
      <c r="A26" s="8" t="s">
        <v>29</v>
      </c>
      <c r="B26" s="8" t="s">
        <v>62</v>
      </c>
      <c r="C26" s="8" t="s">
        <v>178</v>
      </c>
      <c r="D26" s="8" t="s">
        <v>179</v>
      </c>
      <c r="E26" s="8" t="s">
        <v>180</v>
      </c>
      <c r="F26" s="8" t="s">
        <v>66</v>
      </c>
      <c r="G26" s="8" t="s">
        <v>19</v>
      </c>
      <c r="H26" s="8" t="s">
        <v>31</v>
      </c>
      <c r="J26" s="8" t="s">
        <v>181</v>
      </c>
      <c r="K26" s="8" t="s">
        <v>68</v>
      </c>
      <c r="L26" s="8" t="s">
        <v>182</v>
      </c>
    </row>
    <row r="27" customFormat="false" ht="15.75" hidden="false" customHeight="true" outlineLevel="0" collapsed="false">
      <c r="A27" s="8" t="s">
        <v>29</v>
      </c>
      <c r="B27" s="8" t="s">
        <v>62</v>
      </c>
      <c r="C27" s="8" t="s">
        <v>183</v>
      </c>
      <c r="D27" s="8" t="s">
        <v>184</v>
      </c>
      <c r="E27" s="8" t="s">
        <v>185</v>
      </c>
      <c r="F27" s="8" t="s">
        <v>89</v>
      </c>
      <c r="G27" s="8" t="s">
        <v>19</v>
      </c>
      <c r="H27" s="8" t="s">
        <v>31</v>
      </c>
      <c r="J27" s="8" t="s">
        <v>186</v>
      </c>
      <c r="K27" s="8" t="s">
        <v>68</v>
      </c>
      <c r="L27" s="8" t="s">
        <v>187</v>
      </c>
    </row>
    <row r="28" customFormat="false" ht="15.75" hidden="false" customHeight="true" outlineLevel="0" collapsed="false">
      <c r="A28" s="8" t="s">
        <v>29</v>
      </c>
      <c r="B28" s="8" t="s">
        <v>188</v>
      </c>
      <c r="C28" s="8" t="s">
        <v>189</v>
      </c>
      <c r="D28" s="8" t="s">
        <v>190</v>
      </c>
      <c r="E28" s="8" t="s">
        <v>191</v>
      </c>
      <c r="F28" s="8" t="s">
        <v>95</v>
      </c>
      <c r="G28" s="8" t="s">
        <v>19</v>
      </c>
      <c r="H28" s="8" t="s">
        <v>31</v>
      </c>
      <c r="J28" s="8" t="s">
        <v>192</v>
      </c>
      <c r="K28" s="8" t="s">
        <v>68</v>
      </c>
      <c r="L28" s="8" t="s">
        <v>193</v>
      </c>
    </row>
    <row r="29" customFormat="false" ht="15.75" hidden="false" customHeight="true" outlineLevel="0" collapsed="false">
      <c r="A29" s="8" t="s">
        <v>29</v>
      </c>
      <c r="B29" s="8" t="s">
        <v>188</v>
      </c>
      <c r="C29" s="8" t="s">
        <v>194</v>
      </c>
      <c r="D29" s="8" t="s">
        <v>195</v>
      </c>
      <c r="E29" s="8" t="s">
        <v>196</v>
      </c>
      <c r="F29" s="8" t="s">
        <v>83</v>
      </c>
      <c r="G29" s="8" t="s">
        <v>19</v>
      </c>
      <c r="H29" s="8" t="s">
        <v>31</v>
      </c>
      <c r="J29" s="8" t="s">
        <v>197</v>
      </c>
      <c r="K29" s="8" t="s">
        <v>68</v>
      </c>
      <c r="L29" s="8" t="s">
        <v>198</v>
      </c>
    </row>
    <row r="30" customFormat="false" ht="15.75" hidden="false" customHeight="true" outlineLevel="0" collapsed="false">
      <c r="A30" s="8" t="s">
        <v>29</v>
      </c>
      <c r="B30" s="8" t="s">
        <v>199</v>
      </c>
      <c r="C30" s="8" t="s">
        <v>200</v>
      </c>
      <c r="D30" s="8" t="s">
        <v>190</v>
      </c>
      <c r="E30" s="8" t="s">
        <v>201</v>
      </c>
      <c r="F30" s="8" t="s">
        <v>95</v>
      </c>
      <c r="G30" s="8" t="s">
        <v>19</v>
      </c>
      <c r="H30" s="8" t="s">
        <v>31</v>
      </c>
      <c r="J30" s="8" t="s">
        <v>192</v>
      </c>
      <c r="K30" s="8" t="s">
        <v>68</v>
      </c>
      <c r="L30" s="8" t="s">
        <v>202</v>
      </c>
    </row>
    <row r="31" customFormat="false" ht="15.75" hidden="false" customHeight="true" outlineLevel="0" collapsed="false">
      <c r="A31" s="8" t="s">
        <v>29</v>
      </c>
      <c r="B31" s="8" t="s">
        <v>199</v>
      </c>
      <c r="C31" s="8" t="s">
        <v>203</v>
      </c>
      <c r="D31" s="8" t="s">
        <v>204</v>
      </c>
      <c r="E31" s="8" t="s">
        <v>205</v>
      </c>
      <c r="F31" s="8" t="s">
        <v>83</v>
      </c>
      <c r="G31" s="8" t="s">
        <v>19</v>
      </c>
      <c r="H31" s="8" t="s">
        <v>31</v>
      </c>
      <c r="J31" s="8" t="s">
        <v>206</v>
      </c>
      <c r="K31" s="8" t="s">
        <v>68</v>
      </c>
      <c r="L31" s="8" t="s">
        <v>207</v>
      </c>
    </row>
    <row r="32" customFormat="false" ht="15.75" hidden="false" customHeight="true" outlineLevel="0" collapsed="false">
      <c r="A32" s="8" t="s">
        <v>29</v>
      </c>
      <c r="B32" s="8" t="s">
        <v>62</v>
      </c>
      <c r="C32" s="8" t="s">
        <v>208</v>
      </c>
      <c r="D32" s="8" t="s">
        <v>114</v>
      </c>
      <c r="E32" s="8" t="s">
        <v>209</v>
      </c>
      <c r="F32" s="8" t="s">
        <v>89</v>
      </c>
      <c r="G32" s="8" t="s">
        <v>43</v>
      </c>
      <c r="H32" s="8" t="s">
        <v>31</v>
      </c>
      <c r="J32" s="8" t="s">
        <v>210</v>
      </c>
      <c r="K32" s="8" t="s">
        <v>68</v>
      </c>
      <c r="L32" s="8" t="s">
        <v>117</v>
      </c>
    </row>
    <row r="33" customFormat="false" ht="15.75" hidden="false" customHeight="true" outlineLevel="0" collapsed="false">
      <c r="A33" s="8" t="s">
        <v>35</v>
      </c>
      <c r="B33" s="8" t="s">
        <v>62</v>
      </c>
      <c r="C33" s="8" t="s">
        <v>211</v>
      </c>
      <c r="D33" s="8" t="s">
        <v>212</v>
      </c>
      <c r="E33" s="8" t="s">
        <v>213</v>
      </c>
      <c r="F33" s="8" t="s">
        <v>66</v>
      </c>
      <c r="G33" s="8" t="s">
        <v>19</v>
      </c>
      <c r="H33" s="8" t="s">
        <v>25</v>
      </c>
      <c r="J33" s="8" t="s">
        <v>214</v>
      </c>
      <c r="K33" s="8" t="s">
        <v>68</v>
      </c>
      <c r="L33" s="8" t="s">
        <v>215</v>
      </c>
    </row>
    <row r="34" customFormat="false" ht="15.75" hidden="false" customHeight="true" outlineLevel="0" collapsed="false">
      <c r="A34" s="8" t="s">
        <v>35</v>
      </c>
      <c r="B34" s="8" t="s">
        <v>62</v>
      </c>
      <c r="C34" s="8" t="s">
        <v>216</v>
      </c>
      <c r="D34" s="8" t="s">
        <v>217</v>
      </c>
      <c r="E34" s="8" t="s">
        <v>218</v>
      </c>
      <c r="F34" s="8" t="s">
        <v>66</v>
      </c>
      <c r="G34" s="8" t="s">
        <v>19</v>
      </c>
      <c r="H34" s="8" t="s">
        <v>25</v>
      </c>
      <c r="J34" s="8" t="s">
        <v>219</v>
      </c>
      <c r="K34" s="8" t="s">
        <v>68</v>
      </c>
      <c r="L34" s="8" t="s">
        <v>220</v>
      </c>
    </row>
    <row r="35" customFormat="false" ht="15.75" hidden="false" customHeight="true" outlineLevel="0" collapsed="false">
      <c r="A35" s="8" t="s">
        <v>35</v>
      </c>
      <c r="B35" s="8" t="s">
        <v>62</v>
      </c>
      <c r="C35" s="8" t="s">
        <v>221</v>
      </c>
      <c r="D35" s="8" t="s">
        <v>222</v>
      </c>
      <c r="E35" s="8" t="s">
        <v>223</v>
      </c>
      <c r="F35" s="8" t="s">
        <v>66</v>
      </c>
      <c r="G35" s="8" t="s">
        <v>19</v>
      </c>
      <c r="H35" s="8" t="s">
        <v>25</v>
      </c>
      <c r="J35" s="8" t="s">
        <v>224</v>
      </c>
      <c r="K35" s="8" t="s">
        <v>68</v>
      </c>
      <c r="L35" s="8" t="s">
        <v>225</v>
      </c>
    </row>
    <row r="36" customFormat="false" ht="15.75" hidden="false" customHeight="true" outlineLevel="0" collapsed="false">
      <c r="A36" s="8" t="s">
        <v>35</v>
      </c>
      <c r="B36" s="8" t="s">
        <v>62</v>
      </c>
      <c r="C36" s="8" t="s">
        <v>226</v>
      </c>
      <c r="D36" s="8" t="s">
        <v>227</v>
      </c>
      <c r="E36" s="8" t="s">
        <v>228</v>
      </c>
      <c r="F36" s="8" t="s">
        <v>83</v>
      </c>
      <c r="G36" s="8" t="s">
        <v>19</v>
      </c>
      <c r="H36" s="8" t="s">
        <v>25</v>
      </c>
      <c r="J36" s="8" t="s">
        <v>229</v>
      </c>
      <c r="K36" s="8" t="s">
        <v>68</v>
      </c>
      <c r="L36" s="8" t="s">
        <v>230</v>
      </c>
    </row>
    <row r="37" customFormat="false" ht="15.75" hidden="false" customHeight="true" outlineLevel="0" collapsed="false">
      <c r="A37" s="8" t="s">
        <v>35</v>
      </c>
      <c r="B37" s="8" t="s">
        <v>62</v>
      </c>
      <c r="C37" s="8" t="s">
        <v>231</v>
      </c>
      <c r="D37" s="8" t="s">
        <v>87</v>
      </c>
      <c r="E37" s="8" t="s">
        <v>232</v>
      </c>
      <c r="F37" s="8" t="s">
        <v>89</v>
      </c>
      <c r="G37" s="8" t="s">
        <v>43</v>
      </c>
      <c r="H37" s="8" t="s">
        <v>25</v>
      </c>
      <c r="J37" s="8" t="s">
        <v>233</v>
      </c>
      <c r="K37" s="8" t="s">
        <v>68</v>
      </c>
      <c r="L37" s="8" t="s">
        <v>91</v>
      </c>
    </row>
    <row r="38" customFormat="false" ht="15.75" hidden="false" customHeight="true" outlineLevel="0" collapsed="false">
      <c r="A38" s="8" t="s">
        <v>35</v>
      </c>
      <c r="B38" s="8" t="s">
        <v>62</v>
      </c>
      <c r="C38" s="8" t="s">
        <v>234</v>
      </c>
      <c r="D38" s="8" t="s">
        <v>235</v>
      </c>
      <c r="E38" s="8" t="s">
        <v>236</v>
      </c>
      <c r="F38" s="8" t="s">
        <v>95</v>
      </c>
      <c r="G38" s="8" t="s">
        <v>19</v>
      </c>
      <c r="H38" s="8" t="s">
        <v>25</v>
      </c>
      <c r="J38" s="8" t="s">
        <v>237</v>
      </c>
      <c r="K38" s="8" t="s">
        <v>68</v>
      </c>
      <c r="L38" s="8" t="s">
        <v>238</v>
      </c>
    </row>
    <row r="39" customFormat="false" ht="15.75" hidden="false" customHeight="true" outlineLevel="0" collapsed="false">
      <c r="A39" s="8" t="s">
        <v>35</v>
      </c>
      <c r="B39" s="8" t="s">
        <v>62</v>
      </c>
      <c r="C39" s="8" t="s">
        <v>239</v>
      </c>
      <c r="D39" s="8" t="s">
        <v>240</v>
      </c>
      <c r="E39" s="8" t="s">
        <v>241</v>
      </c>
      <c r="F39" s="8" t="s">
        <v>83</v>
      </c>
      <c r="G39" s="8" t="s">
        <v>19</v>
      </c>
      <c r="H39" s="8" t="s">
        <v>25</v>
      </c>
      <c r="J39" s="8" t="s">
        <v>242</v>
      </c>
      <c r="K39" s="8" t="s">
        <v>68</v>
      </c>
      <c r="L39" s="8" t="s">
        <v>243</v>
      </c>
    </row>
    <row r="40" customFormat="false" ht="15.75" hidden="false" customHeight="true" outlineLevel="0" collapsed="false">
      <c r="A40" s="8" t="s">
        <v>35</v>
      </c>
      <c r="B40" s="8" t="s">
        <v>62</v>
      </c>
      <c r="C40" s="8" t="s">
        <v>244</v>
      </c>
      <c r="D40" s="8" t="s">
        <v>245</v>
      </c>
      <c r="E40" s="8" t="s">
        <v>246</v>
      </c>
      <c r="F40" s="8" t="s">
        <v>66</v>
      </c>
      <c r="G40" s="8" t="s">
        <v>43</v>
      </c>
      <c r="H40" s="8" t="s">
        <v>25</v>
      </c>
      <c r="J40" s="8" t="s">
        <v>247</v>
      </c>
      <c r="K40" s="8" t="s">
        <v>68</v>
      </c>
      <c r="L40" s="8" t="s">
        <v>248</v>
      </c>
    </row>
    <row r="41" customFormat="false" ht="15.75" hidden="false" customHeight="true" outlineLevel="0" collapsed="false">
      <c r="A41" s="8" t="s">
        <v>35</v>
      </c>
      <c r="B41" s="8" t="s">
        <v>62</v>
      </c>
      <c r="C41" s="8" t="s">
        <v>249</v>
      </c>
      <c r="D41" s="8" t="s">
        <v>250</v>
      </c>
      <c r="E41" s="8" t="s">
        <v>251</v>
      </c>
      <c r="F41" s="8" t="s">
        <v>83</v>
      </c>
      <c r="G41" s="8" t="s">
        <v>19</v>
      </c>
      <c r="H41" s="8" t="s">
        <v>25</v>
      </c>
      <c r="J41" s="8" t="s">
        <v>252</v>
      </c>
      <c r="K41" s="8" t="s">
        <v>68</v>
      </c>
      <c r="L41" s="8" t="s">
        <v>253</v>
      </c>
    </row>
    <row r="42" customFormat="false" ht="15.75" hidden="false" customHeight="true" outlineLevel="0" collapsed="false">
      <c r="A42" s="8" t="s">
        <v>35</v>
      </c>
      <c r="B42" s="8" t="s">
        <v>62</v>
      </c>
      <c r="C42" s="8" t="s">
        <v>254</v>
      </c>
      <c r="D42" s="8" t="s">
        <v>114</v>
      </c>
      <c r="E42" s="8" t="s">
        <v>255</v>
      </c>
      <c r="F42" s="8" t="s">
        <v>89</v>
      </c>
      <c r="G42" s="8" t="s">
        <v>43</v>
      </c>
      <c r="H42" s="8" t="s">
        <v>25</v>
      </c>
      <c r="J42" s="8" t="s">
        <v>256</v>
      </c>
      <c r="K42" s="8" t="s">
        <v>68</v>
      </c>
      <c r="L42" s="8" t="s">
        <v>117</v>
      </c>
    </row>
    <row r="43" customFormat="false" ht="15.75" hidden="false" customHeight="true" outlineLevel="0" collapsed="false">
      <c r="A43" s="8" t="s">
        <v>39</v>
      </c>
      <c r="B43" s="8" t="s">
        <v>62</v>
      </c>
      <c r="C43" s="8" t="s">
        <v>257</v>
      </c>
      <c r="D43" s="8" t="s">
        <v>258</v>
      </c>
      <c r="E43" s="8" t="s">
        <v>259</v>
      </c>
      <c r="F43" s="8" t="s">
        <v>66</v>
      </c>
      <c r="G43" s="8" t="s">
        <v>19</v>
      </c>
      <c r="H43" s="8" t="s">
        <v>15</v>
      </c>
      <c r="J43" s="8" t="s">
        <v>260</v>
      </c>
      <c r="K43" s="8" t="s">
        <v>68</v>
      </c>
      <c r="L43" s="8" t="s">
        <v>261</v>
      </c>
    </row>
    <row r="44" customFormat="false" ht="15.75" hidden="false" customHeight="true" outlineLevel="0" collapsed="false">
      <c r="A44" s="8" t="s">
        <v>39</v>
      </c>
      <c r="B44" s="8" t="s">
        <v>62</v>
      </c>
      <c r="C44" s="8" t="s">
        <v>262</v>
      </c>
      <c r="D44" s="8" t="s">
        <v>263</v>
      </c>
      <c r="E44" s="8" t="s">
        <v>264</v>
      </c>
      <c r="F44" s="8" t="s">
        <v>66</v>
      </c>
      <c r="G44" s="8" t="s">
        <v>19</v>
      </c>
      <c r="H44" s="8" t="s">
        <v>15</v>
      </c>
      <c r="J44" s="8" t="s">
        <v>265</v>
      </c>
      <c r="K44" s="8" t="s">
        <v>68</v>
      </c>
      <c r="L44" s="8" t="s">
        <v>266</v>
      </c>
    </row>
    <row r="45" customFormat="false" ht="15.75" hidden="false" customHeight="true" outlineLevel="0" collapsed="false">
      <c r="A45" s="8" t="s">
        <v>39</v>
      </c>
      <c r="B45" s="8" t="s">
        <v>62</v>
      </c>
      <c r="C45" s="8" t="s">
        <v>267</v>
      </c>
      <c r="D45" s="8" t="s">
        <v>268</v>
      </c>
      <c r="E45" s="8" t="s">
        <v>269</v>
      </c>
      <c r="F45" s="8" t="s">
        <v>66</v>
      </c>
      <c r="G45" s="8" t="s">
        <v>19</v>
      </c>
      <c r="H45" s="8" t="s">
        <v>15</v>
      </c>
      <c r="J45" s="8" t="s">
        <v>270</v>
      </c>
      <c r="K45" s="8" t="s">
        <v>68</v>
      </c>
      <c r="L45" s="8" t="s">
        <v>271</v>
      </c>
    </row>
    <row r="46" customFormat="false" ht="15.75" hidden="false" customHeight="true" outlineLevel="0" collapsed="false">
      <c r="A46" s="8" t="s">
        <v>39</v>
      </c>
      <c r="B46" s="8" t="s">
        <v>62</v>
      </c>
      <c r="C46" s="8" t="s">
        <v>272</v>
      </c>
      <c r="D46" s="8" t="s">
        <v>273</v>
      </c>
      <c r="E46" s="8" t="s">
        <v>274</v>
      </c>
      <c r="F46" s="8" t="s">
        <v>83</v>
      </c>
      <c r="G46" s="8" t="s">
        <v>43</v>
      </c>
      <c r="H46" s="8" t="s">
        <v>15</v>
      </c>
      <c r="J46" s="8" t="s">
        <v>275</v>
      </c>
      <c r="K46" s="8" t="s">
        <v>68</v>
      </c>
      <c r="L46" s="8" t="s">
        <v>276</v>
      </c>
    </row>
    <row r="47" customFormat="false" ht="15.75" hidden="false" customHeight="true" outlineLevel="0" collapsed="false">
      <c r="A47" s="8" t="s">
        <v>39</v>
      </c>
      <c r="B47" s="8" t="s">
        <v>62</v>
      </c>
      <c r="C47" s="8" t="s">
        <v>277</v>
      </c>
      <c r="D47" s="8" t="s">
        <v>87</v>
      </c>
      <c r="E47" s="8" t="s">
        <v>278</v>
      </c>
      <c r="F47" s="8" t="s">
        <v>89</v>
      </c>
      <c r="G47" s="8" t="s">
        <v>43</v>
      </c>
      <c r="H47" s="8" t="s">
        <v>15</v>
      </c>
      <c r="J47" s="8" t="s">
        <v>279</v>
      </c>
      <c r="K47" s="8" t="s">
        <v>68</v>
      </c>
      <c r="L47" s="8" t="s">
        <v>91</v>
      </c>
    </row>
    <row r="48" customFormat="false" ht="15.75" hidden="false" customHeight="true" outlineLevel="0" collapsed="false">
      <c r="A48" s="8" t="s">
        <v>39</v>
      </c>
      <c r="B48" s="8" t="s">
        <v>62</v>
      </c>
      <c r="C48" s="8" t="s">
        <v>280</v>
      </c>
      <c r="D48" s="8" t="s">
        <v>281</v>
      </c>
      <c r="E48" s="8" t="s">
        <v>282</v>
      </c>
      <c r="F48" s="8" t="s">
        <v>95</v>
      </c>
      <c r="G48" s="8" t="s">
        <v>19</v>
      </c>
      <c r="H48" s="8" t="s">
        <v>15</v>
      </c>
      <c r="J48" s="8" t="s">
        <v>283</v>
      </c>
      <c r="K48" s="8" t="s">
        <v>68</v>
      </c>
      <c r="L48" s="8" t="s">
        <v>284</v>
      </c>
    </row>
    <row r="49" customFormat="false" ht="15.75" hidden="false" customHeight="true" outlineLevel="0" collapsed="false">
      <c r="A49" s="8" t="s">
        <v>39</v>
      </c>
      <c r="B49" s="8" t="s">
        <v>62</v>
      </c>
      <c r="C49" s="8" t="s">
        <v>285</v>
      </c>
      <c r="D49" s="8" t="s">
        <v>286</v>
      </c>
      <c r="E49" s="8" t="s">
        <v>287</v>
      </c>
      <c r="F49" s="8" t="s">
        <v>83</v>
      </c>
      <c r="G49" s="8" t="s">
        <v>19</v>
      </c>
      <c r="H49" s="8" t="s">
        <v>15</v>
      </c>
      <c r="J49" s="8" t="s">
        <v>288</v>
      </c>
      <c r="K49" s="8" t="s">
        <v>68</v>
      </c>
      <c r="L49" s="8" t="s">
        <v>289</v>
      </c>
    </row>
    <row r="50" customFormat="false" ht="15.75" hidden="false" customHeight="true" outlineLevel="0" collapsed="false">
      <c r="A50" s="8" t="s">
        <v>39</v>
      </c>
      <c r="B50" s="8" t="s">
        <v>62</v>
      </c>
      <c r="C50" s="8" t="s">
        <v>290</v>
      </c>
      <c r="D50" s="8" t="s">
        <v>291</v>
      </c>
      <c r="E50" s="8" t="s">
        <v>292</v>
      </c>
      <c r="F50" s="8" t="s">
        <v>66</v>
      </c>
      <c r="G50" s="8" t="s">
        <v>43</v>
      </c>
      <c r="H50" s="8" t="s">
        <v>15</v>
      </c>
      <c r="J50" s="8" t="s">
        <v>293</v>
      </c>
      <c r="K50" s="8" t="s">
        <v>68</v>
      </c>
      <c r="L50" s="8" t="s">
        <v>294</v>
      </c>
    </row>
    <row r="51" customFormat="false" ht="15.75" hidden="false" customHeight="true" outlineLevel="0" collapsed="false">
      <c r="A51" s="8" t="s">
        <v>39</v>
      </c>
      <c r="B51" s="8" t="s">
        <v>62</v>
      </c>
      <c r="C51" s="8" t="s">
        <v>295</v>
      </c>
      <c r="D51" s="8" t="s">
        <v>296</v>
      </c>
      <c r="E51" s="8" t="s">
        <v>297</v>
      </c>
      <c r="F51" s="8" t="s">
        <v>83</v>
      </c>
      <c r="G51" s="8" t="s">
        <v>43</v>
      </c>
      <c r="H51" s="8" t="s">
        <v>15</v>
      </c>
      <c r="J51" s="8" t="s">
        <v>298</v>
      </c>
      <c r="K51" s="8" t="s">
        <v>68</v>
      </c>
      <c r="L51" s="8" t="s">
        <v>299</v>
      </c>
    </row>
    <row r="52" customFormat="false" ht="15.75" hidden="false" customHeight="true" outlineLevel="0" collapsed="false">
      <c r="A52" s="8" t="s">
        <v>39</v>
      </c>
      <c r="B52" s="8" t="s">
        <v>62</v>
      </c>
      <c r="C52" s="8" t="s">
        <v>300</v>
      </c>
      <c r="D52" s="8" t="s">
        <v>114</v>
      </c>
      <c r="E52" s="8" t="s">
        <v>301</v>
      </c>
      <c r="F52" s="8" t="s">
        <v>89</v>
      </c>
      <c r="G52" s="8" t="s">
        <v>43</v>
      </c>
      <c r="H52" s="8" t="s">
        <v>15</v>
      </c>
      <c r="J52" s="8" t="s">
        <v>210</v>
      </c>
      <c r="K52" s="8" t="s">
        <v>68</v>
      </c>
      <c r="L52" s="8" t="s">
        <v>117</v>
      </c>
    </row>
    <row r="53" customFormat="false" ht="15.75" hidden="false" customHeight="true" outlineLevel="0" collapsed="false">
      <c r="A53" s="8" t="s">
        <v>44</v>
      </c>
      <c r="B53" s="8" t="s">
        <v>62</v>
      </c>
      <c r="C53" s="8" t="s">
        <v>302</v>
      </c>
      <c r="D53" s="8" t="s">
        <v>303</v>
      </c>
      <c r="E53" s="8" t="s">
        <v>304</v>
      </c>
      <c r="F53" s="8" t="s">
        <v>66</v>
      </c>
      <c r="G53" s="8" t="s">
        <v>19</v>
      </c>
      <c r="H53" s="8" t="s">
        <v>31</v>
      </c>
      <c r="J53" s="8" t="s">
        <v>305</v>
      </c>
      <c r="K53" s="8" t="s">
        <v>68</v>
      </c>
      <c r="L53" s="8" t="s">
        <v>306</v>
      </c>
    </row>
    <row r="54" customFormat="false" ht="15.75" hidden="false" customHeight="true" outlineLevel="0" collapsed="false">
      <c r="A54" s="8" t="s">
        <v>44</v>
      </c>
      <c r="B54" s="8" t="s">
        <v>62</v>
      </c>
      <c r="C54" s="8" t="s">
        <v>307</v>
      </c>
      <c r="D54" s="8" t="s">
        <v>308</v>
      </c>
      <c r="E54" s="8" t="s">
        <v>309</v>
      </c>
      <c r="F54" s="8" t="s">
        <v>66</v>
      </c>
      <c r="G54" s="8" t="s">
        <v>19</v>
      </c>
      <c r="H54" s="8" t="s">
        <v>31</v>
      </c>
      <c r="J54" s="8" t="s">
        <v>310</v>
      </c>
      <c r="K54" s="8" t="s">
        <v>68</v>
      </c>
      <c r="L54" s="8" t="s">
        <v>311</v>
      </c>
    </row>
    <row r="55" customFormat="false" ht="15.75" hidden="false" customHeight="true" outlineLevel="0" collapsed="false">
      <c r="A55" s="8" t="s">
        <v>44</v>
      </c>
      <c r="B55" s="8" t="s">
        <v>62</v>
      </c>
      <c r="C55" s="8" t="s">
        <v>312</v>
      </c>
      <c r="D55" s="8" t="s">
        <v>313</v>
      </c>
      <c r="E55" s="8" t="s">
        <v>314</v>
      </c>
      <c r="F55" s="8" t="s">
        <v>66</v>
      </c>
      <c r="G55" s="8" t="s">
        <v>19</v>
      </c>
      <c r="H55" s="8" t="s">
        <v>31</v>
      </c>
      <c r="J55" s="8" t="s">
        <v>315</v>
      </c>
      <c r="K55" s="8" t="s">
        <v>68</v>
      </c>
      <c r="L55" s="8" t="s">
        <v>316</v>
      </c>
    </row>
    <row r="56" customFormat="false" ht="15.75" hidden="false" customHeight="true" outlineLevel="0" collapsed="false">
      <c r="A56" s="8" t="s">
        <v>44</v>
      </c>
      <c r="B56" s="8" t="s">
        <v>62</v>
      </c>
      <c r="C56" s="8" t="s">
        <v>317</v>
      </c>
      <c r="D56" s="8" t="s">
        <v>318</v>
      </c>
      <c r="E56" s="8" t="s">
        <v>319</v>
      </c>
      <c r="F56" s="8" t="s">
        <v>83</v>
      </c>
      <c r="G56" s="8" t="s">
        <v>43</v>
      </c>
      <c r="H56" s="8" t="s">
        <v>31</v>
      </c>
      <c r="J56" s="8" t="s">
        <v>320</v>
      </c>
      <c r="K56" s="8" t="s">
        <v>68</v>
      </c>
      <c r="L56" s="8" t="s">
        <v>321</v>
      </c>
    </row>
    <row r="57" customFormat="false" ht="15.75" hidden="false" customHeight="true" outlineLevel="0" collapsed="false">
      <c r="A57" s="8" t="s">
        <v>44</v>
      </c>
      <c r="B57" s="8" t="s">
        <v>62</v>
      </c>
      <c r="C57" s="8" t="s">
        <v>322</v>
      </c>
      <c r="D57" s="8" t="s">
        <v>87</v>
      </c>
      <c r="E57" s="8" t="s">
        <v>323</v>
      </c>
      <c r="F57" s="8" t="s">
        <v>89</v>
      </c>
      <c r="G57" s="8" t="s">
        <v>43</v>
      </c>
      <c r="H57" s="8" t="s">
        <v>31</v>
      </c>
      <c r="J57" s="8" t="s">
        <v>324</v>
      </c>
      <c r="K57" s="8" t="s">
        <v>68</v>
      </c>
      <c r="L57" s="8" t="s">
        <v>91</v>
      </c>
    </row>
    <row r="58" customFormat="false" ht="15.75" hidden="false" customHeight="true" outlineLevel="0" collapsed="false">
      <c r="A58" s="8" t="s">
        <v>44</v>
      </c>
      <c r="B58" s="8" t="s">
        <v>62</v>
      </c>
      <c r="C58" s="8" t="s">
        <v>325</v>
      </c>
      <c r="D58" s="8" t="s">
        <v>326</v>
      </c>
      <c r="E58" s="8" t="s">
        <v>327</v>
      </c>
      <c r="F58" s="8" t="s">
        <v>95</v>
      </c>
      <c r="G58" s="8" t="s">
        <v>19</v>
      </c>
      <c r="H58" s="8" t="s">
        <v>31</v>
      </c>
      <c r="J58" s="8" t="s">
        <v>328</v>
      </c>
      <c r="K58" s="8" t="s">
        <v>68</v>
      </c>
      <c r="L58" s="8" t="s">
        <v>284</v>
      </c>
    </row>
    <row r="59" customFormat="false" ht="15.75" hidden="false" customHeight="true" outlineLevel="0" collapsed="false">
      <c r="A59" s="8" t="s">
        <v>44</v>
      </c>
      <c r="B59" s="8" t="s">
        <v>62</v>
      </c>
      <c r="C59" s="8" t="s">
        <v>329</v>
      </c>
      <c r="D59" s="8" t="s">
        <v>330</v>
      </c>
      <c r="E59" s="8" t="s">
        <v>331</v>
      </c>
      <c r="F59" s="8" t="s">
        <v>83</v>
      </c>
      <c r="G59" s="8" t="s">
        <v>19</v>
      </c>
      <c r="H59" s="8" t="s">
        <v>31</v>
      </c>
      <c r="J59" s="8" t="s">
        <v>332</v>
      </c>
      <c r="K59" s="8" t="s">
        <v>68</v>
      </c>
      <c r="L59" s="8" t="s">
        <v>333</v>
      </c>
    </row>
    <row r="60" customFormat="false" ht="15.75" hidden="false" customHeight="true" outlineLevel="0" collapsed="false">
      <c r="A60" s="8" t="s">
        <v>44</v>
      </c>
      <c r="B60" s="8" t="s">
        <v>62</v>
      </c>
      <c r="C60" s="8" t="s">
        <v>334</v>
      </c>
      <c r="D60" s="8" t="s">
        <v>335</v>
      </c>
      <c r="E60" s="8" t="s">
        <v>336</v>
      </c>
      <c r="F60" s="8" t="s">
        <v>83</v>
      </c>
      <c r="G60" s="8" t="s">
        <v>43</v>
      </c>
      <c r="H60" s="8" t="s">
        <v>31</v>
      </c>
      <c r="J60" s="8" t="s">
        <v>337</v>
      </c>
      <c r="K60" s="8" t="s">
        <v>68</v>
      </c>
      <c r="L60" s="8" t="s">
        <v>338</v>
      </c>
    </row>
    <row r="61" customFormat="false" ht="15.75" hidden="false" customHeight="true" outlineLevel="0" collapsed="false">
      <c r="A61" s="8" t="s">
        <v>44</v>
      </c>
      <c r="B61" s="8" t="s">
        <v>62</v>
      </c>
      <c r="C61" s="8" t="s">
        <v>339</v>
      </c>
      <c r="D61" s="8" t="s">
        <v>340</v>
      </c>
      <c r="E61" s="8" t="s">
        <v>341</v>
      </c>
      <c r="F61" s="8" t="s">
        <v>66</v>
      </c>
      <c r="G61" s="8" t="s">
        <v>43</v>
      </c>
      <c r="H61" s="8" t="s">
        <v>31</v>
      </c>
      <c r="J61" s="8" t="s">
        <v>342</v>
      </c>
      <c r="K61" s="8" t="s">
        <v>68</v>
      </c>
      <c r="L61" s="8" t="s">
        <v>343</v>
      </c>
    </row>
    <row r="62" customFormat="false" ht="15.75" hidden="false" customHeight="true" outlineLevel="0" collapsed="false">
      <c r="A62" s="8" t="s">
        <v>44</v>
      </c>
      <c r="B62" s="8" t="s">
        <v>62</v>
      </c>
      <c r="C62" s="8" t="s">
        <v>344</v>
      </c>
      <c r="D62" s="8" t="s">
        <v>114</v>
      </c>
      <c r="E62" s="8" t="s">
        <v>345</v>
      </c>
      <c r="F62" s="8" t="s">
        <v>89</v>
      </c>
      <c r="G62" s="8" t="s">
        <v>43</v>
      </c>
      <c r="H62" s="8" t="s">
        <v>31</v>
      </c>
      <c r="J62" s="8" t="s">
        <v>210</v>
      </c>
      <c r="K62" s="8" t="s">
        <v>68</v>
      </c>
      <c r="L62" s="8" t="s">
        <v>117</v>
      </c>
    </row>
    <row r="63" customFormat="false" ht="15.75" hidden="false" customHeight="true" outlineLevel="0" collapsed="false">
      <c r="A63" s="8" t="s">
        <v>49</v>
      </c>
      <c r="B63" s="8" t="s">
        <v>62</v>
      </c>
      <c r="C63" s="8" t="s">
        <v>346</v>
      </c>
      <c r="D63" s="8" t="s">
        <v>347</v>
      </c>
      <c r="E63" s="8" t="s">
        <v>348</v>
      </c>
      <c r="F63" s="8" t="s">
        <v>66</v>
      </c>
      <c r="G63" s="8" t="s">
        <v>19</v>
      </c>
      <c r="H63" s="8" t="s">
        <v>31</v>
      </c>
      <c r="J63" s="8" t="s">
        <v>349</v>
      </c>
      <c r="K63" s="8" t="s">
        <v>68</v>
      </c>
      <c r="L63" s="8" t="s">
        <v>350</v>
      </c>
    </row>
    <row r="64" customFormat="false" ht="15.75" hidden="false" customHeight="true" outlineLevel="0" collapsed="false">
      <c r="A64" s="8" t="s">
        <v>49</v>
      </c>
      <c r="B64" s="8" t="s">
        <v>62</v>
      </c>
      <c r="C64" s="8" t="s">
        <v>351</v>
      </c>
      <c r="D64" s="8" t="s">
        <v>352</v>
      </c>
      <c r="E64" s="8" t="s">
        <v>353</v>
      </c>
      <c r="F64" s="8" t="s">
        <v>66</v>
      </c>
      <c r="G64" s="8" t="s">
        <v>19</v>
      </c>
      <c r="H64" s="8" t="s">
        <v>31</v>
      </c>
      <c r="J64" s="8" t="s">
        <v>354</v>
      </c>
      <c r="K64" s="8" t="s">
        <v>68</v>
      </c>
      <c r="L64" s="8" t="s">
        <v>355</v>
      </c>
    </row>
    <row r="65" customFormat="false" ht="15.75" hidden="false" customHeight="true" outlineLevel="0" collapsed="false">
      <c r="A65" s="8" t="s">
        <v>49</v>
      </c>
      <c r="B65" s="8" t="s">
        <v>62</v>
      </c>
      <c r="C65" s="8" t="s">
        <v>356</v>
      </c>
      <c r="D65" s="8" t="s">
        <v>357</v>
      </c>
      <c r="E65" s="8" t="s">
        <v>358</v>
      </c>
      <c r="F65" s="8" t="s">
        <v>66</v>
      </c>
      <c r="G65" s="8" t="s">
        <v>19</v>
      </c>
      <c r="H65" s="8" t="s">
        <v>31</v>
      </c>
      <c r="J65" s="8" t="s">
        <v>359</v>
      </c>
      <c r="K65" s="8" t="s">
        <v>68</v>
      </c>
      <c r="L65" s="8" t="s">
        <v>360</v>
      </c>
    </row>
    <row r="66" customFormat="false" ht="15.75" hidden="false" customHeight="true" outlineLevel="0" collapsed="false">
      <c r="A66" s="8" t="s">
        <v>49</v>
      </c>
      <c r="B66" s="8" t="s">
        <v>62</v>
      </c>
      <c r="C66" s="8" t="s">
        <v>361</v>
      </c>
      <c r="D66" s="8" t="s">
        <v>362</v>
      </c>
      <c r="E66" s="8" t="s">
        <v>363</v>
      </c>
      <c r="F66" s="8" t="s">
        <v>66</v>
      </c>
      <c r="G66" s="8" t="s">
        <v>19</v>
      </c>
      <c r="H66" s="8" t="s">
        <v>31</v>
      </c>
      <c r="J66" s="8" t="s">
        <v>364</v>
      </c>
      <c r="K66" s="8" t="s">
        <v>68</v>
      </c>
      <c r="L66" s="8" t="s">
        <v>365</v>
      </c>
    </row>
    <row r="67" customFormat="false" ht="15.75" hidden="false" customHeight="true" outlineLevel="0" collapsed="false">
      <c r="A67" s="8" t="s">
        <v>49</v>
      </c>
      <c r="B67" s="8" t="s">
        <v>62</v>
      </c>
      <c r="C67" s="8" t="s">
        <v>366</v>
      </c>
      <c r="D67" s="8" t="s">
        <v>87</v>
      </c>
      <c r="E67" s="8" t="s">
        <v>367</v>
      </c>
      <c r="F67" s="8" t="s">
        <v>89</v>
      </c>
      <c r="G67" s="8" t="s">
        <v>43</v>
      </c>
      <c r="H67" s="8" t="s">
        <v>31</v>
      </c>
      <c r="J67" s="8" t="s">
        <v>368</v>
      </c>
      <c r="K67" s="8" t="s">
        <v>68</v>
      </c>
      <c r="L67" s="8" t="s">
        <v>91</v>
      </c>
    </row>
    <row r="68" customFormat="false" ht="15.75" hidden="false" customHeight="true" outlineLevel="0" collapsed="false">
      <c r="A68" s="8" t="s">
        <v>49</v>
      </c>
      <c r="B68" s="8" t="s">
        <v>188</v>
      </c>
      <c r="C68" s="8" t="s">
        <v>369</v>
      </c>
      <c r="D68" s="8" t="s">
        <v>370</v>
      </c>
      <c r="E68" s="8" t="s">
        <v>371</v>
      </c>
      <c r="F68" s="8" t="s">
        <v>83</v>
      </c>
      <c r="G68" s="8" t="s">
        <v>19</v>
      </c>
      <c r="H68" s="8" t="s">
        <v>31</v>
      </c>
      <c r="J68" s="8" t="s">
        <v>372</v>
      </c>
      <c r="K68" s="8" t="s">
        <v>68</v>
      </c>
      <c r="L68" s="8" t="s">
        <v>373</v>
      </c>
    </row>
    <row r="69" customFormat="false" ht="15.75" hidden="false" customHeight="true" outlineLevel="0" collapsed="false">
      <c r="A69" s="8" t="s">
        <v>49</v>
      </c>
      <c r="B69" s="8" t="s">
        <v>199</v>
      </c>
      <c r="C69" s="8" t="s">
        <v>374</v>
      </c>
      <c r="D69" s="8" t="s">
        <v>370</v>
      </c>
      <c r="E69" s="8" t="s">
        <v>375</v>
      </c>
      <c r="F69" s="8" t="s">
        <v>83</v>
      </c>
      <c r="G69" s="8" t="s">
        <v>19</v>
      </c>
      <c r="H69" s="8" t="s">
        <v>31</v>
      </c>
      <c r="J69" s="8" t="s">
        <v>376</v>
      </c>
      <c r="K69" s="8" t="s">
        <v>68</v>
      </c>
      <c r="L69" s="8" t="s">
        <v>377</v>
      </c>
    </row>
    <row r="70" customFormat="false" ht="15.75" hidden="false" customHeight="true" outlineLevel="0" collapsed="false">
      <c r="A70" s="8" t="s">
        <v>49</v>
      </c>
      <c r="B70" s="8" t="s">
        <v>62</v>
      </c>
      <c r="C70" s="8" t="s">
        <v>378</v>
      </c>
      <c r="D70" s="8" t="s">
        <v>379</v>
      </c>
      <c r="E70" s="8" t="s">
        <v>380</v>
      </c>
      <c r="F70" s="8" t="s">
        <v>83</v>
      </c>
      <c r="G70" s="8" t="s">
        <v>19</v>
      </c>
      <c r="H70" s="8" t="s">
        <v>31</v>
      </c>
      <c r="J70" s="8" t="s">
        <v>381</v>
      </c>
      <c r="K70" s="8" t="s">
        <v>68</v>
      </c>
      <c r="L70" s="8" t="s">
        <v>382</v>
      </c>
    </row>
    <row r="71" customFormat="false" ht="15.75" hidden="false" customHeight="true" outlineLevel="0" collapsed="false">
      <c r="A71" s="8" t="s">
        <v>49</v>
      </c>
      <c r="B71" s="8" t="s">
        <v>62</v>
      </c>
      <c r="C71" s="8" t="s">
        <v>383</v>
      </c>
      <c r="D71" s="8" t="s">
        <v>384</v>
      </c>
      <c r="E71" s="8" t="s">
        <v>385</v>
      </c>
      <c r="F71" s="8" t="s">
        <v>66</v>
      </c>
      <c r="G71" s="8" t="s">
        <v>19</v>
      </c>
      <c r="H71" s="8" t="s">
        <v>31</v>
      </c>
      <c r="J71" s="8" t="s">
        <v>386</v>
      </c>
      <c r="K71" s="8" t="s">
        <v>68</v>
      </c>
      <c r="L71" s="8" t="s">
        <v>387</v>
      </c>
    </row>
    <row r="72" customFormat="false" ht="15.75" hidden="false" customHeight="true" outlineLevel="0" collapsed="false">
      <c r="A72" s="8" t="s">
        <v>49</v>
      </c>
      <c r="B72" s="8" t="s">
        <v>62</v>
      </c>
      <c r="C72" s="8" t="s">
        <v>388</v>
      </c>
      <c r="D72" s="8" t="s">
        <v>114</v>
      </c>
      <c r="E72" s="8" t="s">
        <v>389</v>
      </c>
      <c r="F72" s="8" t="s">
        <v>89</v>
      </c>
      <c r="G72" s="8" t="s">
        <v>43</v>
      </c>
      <c r="H72" s="8" t="s">
        <v>31</v>
      </c>
      <c r="J72" s="8" t="s">
        <v>390</v>
      </c>
      <c r="K72" s="8" t="s">
        <v>68</v>
      </c>
      <c r="L72" s="8" t="s">
        <v>391</v>
      </c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  <c r="J73" s="7"/>
      <c r="L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  <c r="J74" s="7"/>
      <c r="L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  <c r="J75" s="7"/>
      <c r="L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  <c r="J76" s="7"/>
      <c r="L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  <c r="J77" s="7"/>
      <c r="L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  <c r="J78" s="7"/>
      <c r="L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  <c r="J79" s="7"/>
      <c r="L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  <c r="J80" s="7"/>
      <c r="L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  <c r="J81" s="7"/>
      <c r="L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  <c r="J82" s="7"/>
      <c r="L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  <c r="J83" s="7"/>
      <c r="L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  <c r="J84" s="7"/>
      <c r="L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  <c r="J85" s="7"/>
      <c r="L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  <c r="J86" s="7"/>
      <c r="L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  <c r="J87" s="7"/>
      <c r="L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  <c r="J88" s="7"/>
      <c r="L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  <c r="J89" s="7"/>
      <c r="L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  <c r="J90" s="7"/>
      <c r="L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  <c r="J91" s="7"/>
      <c r="L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  <c r="J92" s="7"/>
      <c r="L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  <c r="J93" s="7"/>
      <c r="L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  <c r="J94" s="7"/>
      <c r="L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  <c r="J95" s="7"/>
      <c r="L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  <c r="J96" s="7"/>
      <c r="L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  <c r="J97" s="7"/>
      <c r="L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  <c r="J98" s="7"/>
      <c r="L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  <c r="J99" s="7"/>
      <c r="L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  <c r="J100" s="7"/>
      <c r="L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  <c r="J101" s="7"/>
      <c r="L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  <c r="J102" s="7"/>
      <c r="L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  <c r="J103" s="7"/>
      <c r="L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  <c r="J104" s="7"/>
      <c r="L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  <c r="J105" s="7"/>
      <c r="L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  <c r="J106" s="7"/>
      <c r="L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  <c r="J107" s="7"/>
      <c r="L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  <c r="J108" s="7"/>
      <c r="L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  <c r="J109" s="7"/>
      <c r="L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  <c r="J110" s="7"/>
      <c r="L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  <c r="J111" s="7"/>
      <c r="L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  <c r="J112" s="7"/>
      <c r="L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  <c r="J113" s="7"/>
      <c r="L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  <c r="J114" s="7"/>
      <c r="L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  <c r="J115" s="7"/>
      <c r="L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  <c r="J116" s="7"/>
      <c r="L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  <c r="J117" s="7"/>
      <c r="L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  <c r="J118" s="7"/>
      <c r="L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  <c r="J119" s="7"/>
      <c r="L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  <c r="J120" s="7"/>
      <c r="L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  <c r="J121" s="7"/>
      <c r="L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  <c r="J122" s="7"/>
      <c r="L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  <c r="J123" s="7"/>
      <c r="L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  <c r="J124" s="7"/>
      <c r="L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  <c r="J125" s="7"/>
      <c r="L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  <c r="J126" s="7"/>
      <c r="L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  <c r="J127" s="7"/>
      <c r="L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  <c r="J128" s="7"/>
      <c r="L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  <c r="J129" s="7"/>
      <c r="L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  <c r="J130" s="7"/>
      <c r="L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  <c r="J131" s="7"/>
      <c r="L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  <c r="J132" s="7"/>
      <c r="L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  <c r="J133" s="7"/>
      <c r="L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  <c r="J134" s="7"/>
      <c r="L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  <c r="J135" s="7"/>
      <c r="L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  <c r="J136" s="7"/>
      <c r="L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  <c r="J137" s="7"/>
      <c r="L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  <c r="J138" s="7"/>
      <c r="L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  <c r="J139" s="7"/>
      <c r="L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  <c r="J140" s="7"/>
      <c r="L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  <c r="J141" s="7"/>
      <c r="L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  <c r="J142" s="7"/>
      <c r="L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  <c r="J143" s="7"/>
      <c r="L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  <c r="J144" s="7"/>
      <c r="L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  <c r="J145" s="7"/>
      <c r="L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  <c r="J146" s="7"/>
      <c r="L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  <c r="J147" s="7"/>
      <c r="L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  <c r="J148" s="7"/>
      <c r="L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  <c r="J149" s="7"/>
      <c r="L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  <c r="J150" s="7"/>
      <c r="L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  <c r="J151" s="7"/>
      <c r="L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  <c r="J152" s="7"/>
      <c r="L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  <c r="J153" s="7"/>
      <c r="L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  <c r="J154" s="7"/>
      <c r="L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  <c r="J155" s="7"/>
      <c r="L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  <c r="J156" s="7"/>
      <c r="L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  <c r="J157" s="7"/>
      <c r="L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  <c r="J158" s="7"/>
      <c r="L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  <c r="J159" s="7"/>
      <c r="L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  <c r="J160" s="7"/>
      <c r="L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  <c r="J161" s="7"/>
      <c r="L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  <c r="J162" s="7"/>
      <c r="L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  <c r="J163" s="7"/>
      <c r="L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  <c r="J164" s="7"/>
      <c r="L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  <c r="J165" s="7"/>
      <c r="L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  <c r="J166" s="7"/>
      <c r="L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  <c r="J167" s="7"/>
      <c r="L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  <c r="J168" s="7"/>
      <c r="L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  <c r="J169" s="7"/>
      <c r="L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  <c r="J170" s="7"/>
      <c r="L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  <c r="J171" s="7"/>
      <c r="L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  <c r="J172" s="7"/>
      <c r="L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  <c r="J173" s="7"/>
      <c r="L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  <c r="J174" s="7"/>
      <c r="L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  <c r="J175" s="7"/>
      <c r="L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  <c r="J176" s="7"/>
      <c r="L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  <c r="J177" s="7"/>
      <c r="L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  <c r="J178" s="7"/>
      <c r="L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  <c r="J179" s="7"/>
      <c r="L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  <c r="J180" s="7"/>
      <c r="L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  <c r="J181" s="7"/>
      <c r="L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  <c r="J182" s="7"/>
      <c r="L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  <c r="J183" s="7"/>
      <c r="L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  <c r="J184" s="7"/>
      <c r="L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  <c r="J185" s="7"/>
      <c r="L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  <c r="J186" s="7"/>
      <c r="L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  <c r="J187" s="7"/>
      <c r="L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  <c r="J188" s="7"/>
      <c r="L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  <c r="J189" s="7"/>
      <c r="L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  <c r="J190" s="7"/>
      <c r="L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  <c r="J191" s="7"/>
      <c r="L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  <c r="J192" s="7"/>
      <c r="L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  <c r="J193" s="7"/>
      <c r="L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  <c r="J194" s="7"/>
      <c r="L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  <c r="J195" s="7"/>
      <c r="L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  <c r="J196" s="7"/>
      <c r="L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  <c r="J197" s="7"/>
      <c r="L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  <c r="J198" s="7"/>
      <c r="L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  <c r="J199" s="7"/>
      <c r="L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  <c r="J200" s="7"/>
      <c r="L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  <c r="J201" s="7"/>
      <c r="L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  <c r="J202" s="7"/>
      <c r="L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  <c r="J203" s="7"/>
      <c r="L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  <c r="J204" s="7"/>
      <c r="L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  <c r="J205" s="7"/>
      <c r="L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  <c r="J206" s="7"/>
      <c r="L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  <c r="J207" s="7"/>
      <c r="L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  <c r="J208" s="7"/>
      <c r="L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  <c r="J209" s="7"/>
      <c r="L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  <c r="J210" s="7"/>
      <c r="L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  <c r="J211" s="7"/>
      <c r="L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  <c r="J212" s="7"/>
      <c r="L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  <c r="J213" s="7"/>
      <c r="L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  <c r="J214" s="7"/>
      <c r="L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  <c r="J215" s="7"/>
      <c r="L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  <c r="J216" s="7"/>
      <c r="L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  <c r="J217" s="7"/>
      <c r="L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  <c r="J218" s="7"/>
      <c r="L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  <c r="J219" s="7"/>
      <c r="L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  <c r="J220" s="7"/>
      <c r="L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  <c r="J221" s="7"/>
      <c r="L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J222" s="7"/>
      <c r="L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J223" s="7"/>
      <c r="L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J224" s="7"/>
      <c r="L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J225" s="7"/>
      <c r="L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J226" s="7"/>
      <c r="L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J227" s="7"/>
      <c r="L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J228" s="7"/>
      <c r="L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J229" s="7"/>
      <c r="L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J230" s="7"/>
      <c r="L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J231" s="7"/>
      <c r="L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J232" s="7"/>
      <c r="L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J233" s="7"/>
      <c r="L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J234" s="7"/>
      <c r="L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J235" s="7"/>
      <c r="L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J236" s="7"/>
      <c r="L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J237" s="7"/>
      <c r="L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J238" s="7"/>
      <c r="L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J239" s="7"/>
      <c r="L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J240" s="7"/>
      <c r="L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J241" s="7"/>
      <c r="L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J242" s="7"/>
      <c r="L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J243" s="7"/>
      <c r="L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J244" s="7"/>
      <c r="L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J245" s="7"/>
      <c r="L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J246" s="7"/>
      <c r="L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J247" s="7"/>
      <c r="L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J248" s="7"/>
      <c r="L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J249" s="7"/>
      <c r="L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J250" s="7"/>
      <c r="L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J251" s="7"/>
      <c r="L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J252" s="7"/>
      <c r="L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J253" s="7"/>
      <c r="L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J254" s="7"/>
      <c r="L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J255" s="7"/>
      <c r="L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J256" s="7"/>
      <c r="L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J257" s="7"/>
      <c r="L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J258" s="7"/>
      <c r="L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J259" s="7"/>
      <c r="L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J260" s="7"/>
      <c r="L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J261" s="7"/>
      <c r="L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J262" s="7"/>
      <c r="L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J263" s="7"/>
      <c r="L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J264" s="7"/>
      <c r="L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J265" s="7"/>
      <c r="L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J266" s="7"/>
      <c r="L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J267" s="7"/>
      <c r="L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J268" s="7"/>
      <c r="L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J269" s="7"/>
      <c r="L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J270" s="7"/>
      <c r="L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J271" s="7"/>
      <c r="L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J272" s="7"/>
      <c r="L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J273" s="7"/>
      <c r="L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J274" s="7"/>
      <c r="L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J275" s="7"/>
      <c r="L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J276" s="7"/>
      <c r="L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J277" s="7"/>
      <c r="L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J278" s="7"/>
      <c r="L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J279" s="7"/>
      <c r="L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J280" s="7"/>
      <c r="L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J281" s="7"/>
      <c r="L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J282" s="7"/>
      <c r="L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J283" s="7"/>
      <c r="L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J284" s="7"/>
      <c r="L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J285" s="7"/>
      <c r="L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J286" s="7"/>
      <c r="L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J287" s="7"/>
      <c r="L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J288" s="7"/>
      <c r="L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J289" s="7"/>
      <c r="L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J290" s="7"/>
      <c r="L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J291" s="7"/>
      <c r="L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J292" s="7"/>
      <c r="L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J293" s="7"/>
      <c r="L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J294" s="7"/>
      <c r="L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J295" s="7"/>
      <c r="L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J296" s="7"/>
      <c r="L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J297" s="7"/>
      <c r="L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J298" s="7"/>
      <c r="L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J299" s="7"/>
      <c r="L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J300" s="7"/>
      <c r="L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J301" s="7"/>
      <c r="L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J302" s="7"/>
      <c r="L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J303" s="7"/>
      <c r="L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J304" s="7"/>
      <c r="L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J305" s="7"/>
      <c r="L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J306" s="7"/>
      <c r="L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J307" s="7"/>
      <c r="L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J308" s="7"/>
      <c r="L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J309" s="7"/>
      <c r="L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J310" s="7"/>
      <c r="L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J311" s="7"/>
      <c r="L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J312" s="7"/>
      <c r="L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J313" s="7"/>
      <c r="L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J314" s="7"/>
      <c r="L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J315" s="7"/>
      <c r="L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J316" s="7"/>
      <c r="L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J317" s="7"/>
      <c r="L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J318" s="7"/>
      <c r="L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J319" s="7"/>
      <c r="L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J320" s="7"/>
      <c r="L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J321" s="7"/>
      <c r="L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J322" s="7"/>
      <c r="L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J323" s="7"/>
      <c r="L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J324" s="7"/>
      <c r="L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J325" s="7"/>
      <c r="L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J326" s="7"/>
      <c r="L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J327" s="7"/>
      <c r="L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J328" s="7"/>
      <c r="L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J329" s="7"/>
      <c r="L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J330" s="7"/>
      <c r="L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J331" s="7"/>
      <c r="L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J332" s="7"/>
      <c r="L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J333" s="7"/>
      <c r="L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J334" s="7"/>
      <c r="L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J335" s="7"/>
      <c r="L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J336" s="7"/>
      <c r="L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J337" s="7"/>
      <c r="L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J338" s="7"/>
      <c r="L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J339" s="7"/>
      <c r="L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J340" s="7"/>
      <c r="L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J341" s="7"/>
      <c r="L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J342" s="7"/>
      <c r="L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J343" s="7"/>
      <c r="L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J344" s="7"/>
      <c r="L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J345" s="7"/>
      <c r="L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J346" s="7"/>
      <c r="L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J347" s="7"/>
      <c r="L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J348" s="7"/>
      <c r="L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J349" s="7"/>
      <c r="L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J350" s="7"/>
      <c r="L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J351" s="7"/>
      <c r="L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J352" s="7"/>
      <c r="L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J353" s="7"/>
      <c r="L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J354" s="7"/>
      <c r="L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J355" s="7"/>
      <c r="L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J356" s="7"/>
      <c r="L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J357" s="7"/>
      <c r="L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J358" s="7"/>
      <c r="L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J359" s="7"/>
      <c r="L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J360" s="7"/>
      <c r="L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J361" s="7"/>
      <c r="L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J362" s="7"/>
      <c r="L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J363" s="7"/>
      <c r="L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J364" s="7"/>
      <c r="L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J365" s="7"/>
      <c r="L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J366" s="7"/>
      <c r="L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J367" s="7"/>
      <c r="L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J368" s="7"/>
      <c r="L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J369" s="7"/>
      <c r="L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J370" s="7"/>
      <c r="L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J371" s="7"/>
      <c r="L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J372" s="7"/>
      <c r="L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J373" s="7"/>
      <c r="L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J374" s="7"/>
      <c r="L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J375" s="7"/>
      <c r="L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J376" s="7"/>
      <c r="L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J377" s="7"/>
      <c r="L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J378" s="7"/>
      <c r="L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J379" s="7"/>
      <c r="L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J380" s="7"/>
      <c r="L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J381" s="7"/>
      <c r="L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J382" s="7"/>
      <c r="L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J383" s="7"/>
      <c r="L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J384" s="7"/>
      <c r="L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J385" s="7"/>
      <c r="L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J386" s="7"/>
      <c r="L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J387" s="7"/>
      <c r="L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J388" s="7"/>
      <c r="L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J389" s="7"/>
      <c r="L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J390" s="7"/>
      <c r="L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J391" s="7"/>
      <c r="L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J392" s="7"/>
      <c r="L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J393" s="7"/>
      <c r="L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J394" s="7"/>
      <c r="L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J395" s="7"/>
      <c r="L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J396" s="7"/>
      <c r="L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J397" s="7"/>
      <c r="L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J398" s="7"/>
      <c r="L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J399" s="7"/>
      <c r="L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J400" s="7"/>
      <c r="L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J401" s="7"/>
      <c r="L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J402" s="7"/>
      <c r="L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J403" s="7"/>
      <c r="L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J404" s="7"/>
      <c r="L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J405" s="7"/>
      <c r="L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J406" s="7"/>
      <c r="L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J407" s="7"/>
      <c r="L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J408" s="7"/>
      <c r="L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J409" s="7"/>
      <c r="L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J410" s="7"/>
      <c r="L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J411" s="7"/>
      <c r="L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J412" s="7"/>
      <c r="L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J413" s="7"/>
      <c r="L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J414" s="7"/>
      <c r="L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J415" s="7"/>
      <c r="L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J416" s="7"/>
      <c r="L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J417" s="7"/>
      <c r="L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J418" s="7"/>
      <c r="L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J419" s="7"/>
      <c r="L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J420" s="7"/>
      <c r="L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J421" s="7"/>
      <c r="L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J422" s="7"/>
      <c r="L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J423" s="7"/>
      <c r="L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J424" s="7"/>
      <c r="L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J425" s="7"/>
      <c r="L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J426" s="7"/>
      <c r="L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J427" s="7"/>
      <c r="L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J428" s="7"/>
      <c r="L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J429" s="7"/>
      <c r="L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J430" s="7"/>
      <c r="L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J431" s="7"/>
      <c r="L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J432" s="7"/>
      <c r="L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J433" s="7"/>
      <c r="L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J434" s="7"/>
      <c r="L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J435" s="7"/>
      <c r="L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J436" s="7"/>
      <c r="L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J437" s="7"/>
      <c r="L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J438" s="7"/>
      <c r="L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J439" s="7"/>
      <c r="L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J440" s="7"/>
      <c r="L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J441" s="7"/>
      <c r="L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J442" s="7"/>
      <c r="L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J443" s="7"/>
      <c r="L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J444" s="7"/>
      <c r="L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J445" s="7"/>
      <c r="L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J446" s="7"/>
      <c r="L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J447" s="7"/>
      <c r="L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J448" s="7"/>
      <c r="L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J449" s="7"/>
      <c r="L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J450" s="7"/>
      <c r="L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J451" s="7"/>
      <c r="L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J452" s="7"/>
      <c r="L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J453" s="7"/>
      <c r="L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J454" s="7"/>
      <c r="L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J455" s="7"/>
      <c r="L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J456" s="7"/>
      <c r="L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J457" s="7"/>
      <c r="L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J458" s="7"/>
      <c r="L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J459" s="7"/>
      <c r="L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J460" s="7"/>
      <c r="L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J461" s="7"/>
      <c r="L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J462" s="7"/>
      <c r="L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J463" s="7"/>
      <c r="L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J464" s="7"/>
      <c r="L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J465" s="7"/>
      <c r="L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J466" s="7"/>
      <c r="L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J467" s="7"/>
      <c r="L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J468" s="7"/>
      <c r="L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J469" s="7"/>
      <c r="L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J470" s="7"/>
      <c r="L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J471" s="7"/>
      <c r="L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J472" s="7"/>
      <c r="L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J473" s="7"/>
      <c r="L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J474" s="7"/>
      <c r="L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J475" s="7"/>
      <c r="L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J476" s="7"/>
      <c r="L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J477" s="7"/>
      <c r="L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J478" s="7"/>
      <c r="L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J479" s="7"/>
      <c r="L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J480" s="7"/>
      <c r="L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J481" s="7"/>
      <c r="L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J482" s="7"/>
      <c r="L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J483" s="7"/>
      <c r="L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J484" s="7"/>
      <c r="L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J485" s="7"/>
      <c r="L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J486" s="7"/>
      <c r="L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J487" s="7"/>
      <c r="L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J488" s="7"/>
      <c r="L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J489" s="7"/>
      <c r="L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J490" s="7"/>
      <c r="L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J491" s="7"/>
      <c r="L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J492" s="7"/>
      <c r="L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J493" s="7"/>
      <c r="L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J494" s="7"/>
      <c r="L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J495" s="7"/>
      <c r="L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J496" s="7"/>
      <c r="L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J497" s="7"/>
      <c r="L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J498" s="7"/>
      <c r="L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J499" s="7"/>
      <c r="L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J500" s="7"/>
      <c r="L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J501" s="7"/>
      <c r="L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J502" s="7"/>
      <c r="L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J503" s="7"/>
      <c r="L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J504" s="7"/>
      <c r="L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J505" s="7"/>
      <c r="L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J506" s="7"/>
      <c r="L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J507" s="7"/>
      <c r="L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J508" s="7"/>
      <c r="L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J509" s="7"/>
      <c r="L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J510" s="7"/>
      <c r="L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J511" s="7"/>
      <c r="L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J512" s="7"/>
      <c r="L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J513" s="7"/>
      <c r="L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J514" s="7"/>
      <c r="L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J515" s="7"/>
      <c r="L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J516" s="7"/>
      <c r="L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J517" s="7"/>
      <c r="L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J518" s="7"/>
      <c r="L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J519" s="7"/>
      <c r="L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J520" s="7"/>
      <c r="L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J521" s="7"/>
      <c r="L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J522" s="7"/>
      <c r="L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J523" s="7"/>
      <c r="L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J524" s="7"/>
      <c r="L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J525" s="7"/>
      <c r="L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J526" s="7"/>
      <c r="L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J527" s="7"/>
      <c r="L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J528" s="7"/>
      <c r="L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J529" s="7"/>
      <c r="L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J530" s="7"/>
      <c r="L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J531" s="7"/>
      <c r="L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J532" s="7"/>
      <c r="L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J533" s="7"/>
      <c r="L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J534" s="7"/>
      <c r="L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J535" s="7"/>
      <c r="L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J536" s="7"/>
      <c r="L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J537" s="7"/>
      <c r="L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J538" s="7"/>
      <c r="L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J539" s="7"/>
      <c r="L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J540" s="7"/>
      <c r="L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J541" s="7"/>
      <c r="L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J542" s="7"/>
      <c r="L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J543" s="7"/>
      <c r="L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J544" s="7"/>
      <c r="L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J545" s="7"/>
      <c r="L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J546" s="7"/>
      <c r="L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J547" s="7"/>
      <c r="L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J548" s="7"/>
      <c r="L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J549" s="7"/>
      <c r="L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J550" s="7"/>
      <c r="L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J551" s="7"/>
      <c r="L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J552" s="7"/>
      <c r="L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J553" s="7"/>
      <c r="L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J554" s="7"/>
      <c r="L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J555" s="7"/>
      <c r="L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J556" s="7"/>
      <c r="L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J557" s="7"/>
      <c r="L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J558" s="7"/>
      <c r="L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J559" s="7"/>
      <c r="L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J560" s="7"/>
      <c r="L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J561" s="7"/>
      <c r="L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J562" s="7"/>
      <c r="L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J563" s="7"/>
      <c r="L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J564" s="7"/>
      <c r="L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J565" s="7"/>
      <c r="L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J566" s="7"/>
      <c r="L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J567" s="7"/>
      <c r="L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J568" s="7"/>
      <c r="L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J569" s="7"/>
      <c r="L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J570" s="7"/>
      <c r="L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J571" s="7"/>
      <c r="L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J572" s="7"/>
      <c r="L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J573" s="7"/>
      <c r="L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J574" s="7"/>
      <c r="L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J575" s="7"/>
      <c r="L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J576" s="7"/>
      <c r="L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J577" s="7"/>
      <c r="L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J578" s="7"/>
      <c r="L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J579" s="7"/>
      <c r="L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J580" s="7"/>
      <c r="L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J581" s="7"/>
      <c r="L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J582" s="7"/>
      <c r="L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J583" s="7"/>
      <c r="L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J584" s="7"/>
      <c r="L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J585" s="7"/>
      <c r="L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J586" s="7"/>
      <c r="L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J587" s="7"/>
      <c r="L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J588" s="7"/>
      <c r="L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J589" s="7"/>
      <c r="L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J590" s="7"/>
      <c r="L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J591" s="7"/>
      <c r="L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J592" s="7"/>
      <c r="L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J593" s="7"/>
      <c r="L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J594" s="7"/>
      <c r="L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J595" s="7"/>
      <c r="L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J596" s="7"/>
      <c r="L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J597" s="7"/>
      <c r="L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J598" s="7"/>
      <c r="L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J599" s="7"/>
      <c r="L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J600" s="7"/>
      <c r="L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J601" s="7"/>
      <c r="L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J602" s="7"/>
      <c r="L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J603" s="7"/>
      <c r="L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J604" s="7"/>
      <c r="L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J605" s="7"/>
      <c r="L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J606" s="7"/>
      <c r="L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J607" s="7"/>
      <c r="L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J608" s="7"/>
      <c r="L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J609" s="7"/>
      <c r="L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J610" s="7"/>
      <c r="L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J611" s="7"/>
      <c r="L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J612" s="7"/>
      <c r="L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J613" s="7"/>
      <c r="L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J614" s="7"/>
      <c r="L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J615" s="7"/>
      <c r="L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J616" s="7"/>
      <c r="L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J617" s="7"/>
      <c r="L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J618" s="7"/>
      <c r="L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J619" s="7"/>
      <c r="L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J620" s="7"/>
      <c r="L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J621" s="7"/>
      <c r="L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J622" s="7"/>
      <c r="L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J623" s="7"/>
      <c r="L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J624" s="7"/>
      <c r="L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J625" s="7"/>
      <c r="L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J626" s="7"/>
      <c r="L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J627" s="7"/>
      <c r="L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J628" s="7"/>
      <c r="L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J629" s="7"/>
      <c r="L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J630" s="7"/>
      <c r="L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J631" s="7"/>
      <c r="L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J632" s="7"/>
      <c r="L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J633" s="7"/>
      <c r="L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J634" s="7"/>
      <c r="L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J635" s="7"/>
      <c r="L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J636" s="7"/>
      <c r="L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J637" s="7"/>
      <c r="L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J638" s="7"/>
      <c r="L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J639" s="7"/>
      <c r="L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J640" s="7"/>
      <c r="L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J641" s="7"/>
      <c r="L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J642" s="7"/>
      <c r="L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J643" s="7"/>
      <c r="L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J644" s="7"/>
      <c r="L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J645" s="7"/>
      <c r="L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J646" s="7"/>
      <c r="L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J647" s="7"/>
      <c r="L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J648" s="7"/>
      <c r="L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J649" s="7"/>
      <c r="L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J650" s="7"/>
      <c r="L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J651" s="7"/>
      <c r="L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J652" s="7"/>
      <c r="L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J653" s="7"/>
      <c r="L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J654" s="7"/>
      <c r="L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J655" s="7"/>
      <c r="L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J656" s="7"/>
      <c r="L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J657" s="7"/>
      <c r="L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J658" s="7"/>
      <c r="L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J659" s="7"/>
      <c r="L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J660" s="7"/>
      <c r="L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J661" s="7"/>
      <c r="L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J662" s="7"/>
      <c r="L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J663" s="7"/>
      <c r="L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J664" s="7"/>
      <c r="L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J665" s="7"/>
      <c r="L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J666" s="7"/>
      <c r="L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J667" s="7"/>
      <c r="L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J668" s="7"/>
      <c r="L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J669" s="7"/>
      <c r="L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J670" s="7"/>
      <c r="L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J671" s="7"/>
      <c r="L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J672" s="7"/>
      <c r="L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J673" s="7"/>
      <c r="L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J674" s="7"/>
      <c r="L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J675" s="7"/>
      <c r="L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J676" s="7"/>
      <c r="L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J677" s="7"/>
      <c r="L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J678" s="7"/>
      <c r="L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J679" s="7"/>
      <c r="L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J680" s="7"/>
      <c r="L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J681" s="7"/>
      <c r="L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J682" s="7"/>
      <c r="L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J683" s="7"/>
      <c r="L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J684" s="7"/>
      <c r="L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J685" s="7"/>
      <c r="L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J686" s="7"/>
      <c r="L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J687" s="7"/>
      <c r="L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J688" s="7"/>
      <c r="L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J689" s="7"/>
      <c r="L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J690" s="7"/>
      <c r="L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J691" s="7"/>
      <c r="L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J692" s="7"/>
      <c r="L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J693" s="7"/>
      <c r="L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J694" s="7"/>
      <c r="L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J695" s="7"/>
      <c r="L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J696" s="7"/>
      <c r="L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J697" s="7"/>
      <c r="L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J698" s="7"/>
      <c r="L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J699" s="7"/>
      <c r="L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J700" s="7"/>
      <c r="L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J701" s="7"/>
      <c r="L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J702" s="7"/>
      <c r="L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J703" s="7"/>
      <c r="L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J704" s="7"/>
      <c r="L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J705" s="7"/>
      <c r="L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J706" s="7"/>
      <c r="L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J707" s="7"/>
      <c r="L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J708" s="7"/>
      <c r="L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J709" s="7"/>
      <c r="L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J710" s="7"/>
      <c r="L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J711" s="7"/>
      <c r="L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J712" s="7"/>
      <c r="L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J713" s="7"/>
      <c r="L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J714" s="7"/>
      <c r="L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J715" s="7"/>
      <c r="L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J716" s="7"/>
      <c r="L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J717" s="7"/>
      <c r="L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J718" s="7"/>
      <c r="L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J719" s="7"/>
      <c r="L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J720" s="7"/>
      <c r="L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J721" s="7"/>
      <c r="L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J722" s="7"/>
      <c r="L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J723" s="7"/>
      <c r="L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J724" s="7"/>
      <c r="L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J725" s="7"/>
      <c r="L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J726" s="7"/>
      <c r="L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J727" s="7"/>
      <c r="L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J728" s="7"/>
      <c r="L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J729" s="7"/>
      <c r="L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J730" s="7"/>
      <c r="L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J731" s="7"/>
      <c r="L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J732" s="7"/>
      <c r="L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J733" s="7"/>
      <c r="L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J734" s="7"/>
      <c r="L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J735" s="7"/>
      <c r="L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J736" s="7"/>
      <c r="L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J737" s="7"/>
      <c r="L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J738" s="7"/>
      <c r="L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J739" s="7"/>
      <c r="L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J740" s="7"/>
      <c r="L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J741" s="7"/>
      <c r="L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J742" s="7"/>
      <c r="L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J743" s="7"/>
      <c r="L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J744" s="7"/>
      <c r="L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J745" s="7"/>
      <c r="L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J746" s="7"/>
      <c r="L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J747" s="7"/>
      <c r="L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J748" s="7"/>
      <c r="L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J749" s="7"/>
      <c r="L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J750" s="7"/>
      <c r="L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J751" s="7"/>
      <c r="L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J752" s="7"/>
      <c r="L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J753" s="7"/>
      <c r="L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J754" s="7"/>
      <c r="L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J755" s="7"/>
      <c r="L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J756" s="7"/>
      <c r="L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J757" s="7"/>
      <c r="L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J758" s="7"/>
      <c r="L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J759" s="7"/>
      <c r="L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J760" s="7"/>
      <c r="L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J761" s="7"/>
      <c r="L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J762" s="7"/>
      <c r="L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J763" s="7"/>
      <c r="L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J764" s="7"/>
      <c r="L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J765" s="7"/>
      <c r="L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J766" s="7"/>
      <c r="L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J767" s="7"/>
      <c r="L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J768" s="7"/>
      <c r="L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J769" s="7"/>
      <c r="L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J770" s="7"/>
      <c r="L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J771" s="7"/>
      <c r="L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J772" s="7"/>
      <c r="L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J773" s="7"/>
      <c r="L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J774" s="7"/>
      <c r="L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J775" s="7"/>
      <c r="L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J776" s="7"/>
      <c r="L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J777" s="7"/>
      <c r="L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J778" s="7"/>
      <c r="L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J779" s="7"/>
      <c r="L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J780" s="7"/>
      <c r="L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J781" s="7"/>
      <c r="L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J782" s="7"/>
      <c r="L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J783" s="7"/>
      <c r="L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J784" s="7"/>
      <c r="L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J785" s="7"/>
      <c r="L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J786" s="7"/>
      <c r="L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J787" s="7"/>
      <c r="L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J788" s="7"/>
      <c r="L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J789" s="7"/>
      <c r="L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J790" s="7"/>
      <c r="L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J791" s="7"/>
      <c r="L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J792" s="7"/>
      <c r="L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J793" s="7"/>
      <c r="L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J794" s="7"/>
      <c r="L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J795" s="7"/>
      <c r="L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J796" s="7"/>
      <c r="L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J797" s="7"/>
      <c r="L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J798" s="7"/>
      <c r="L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J799" s="7"/>
      <c r="L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J800" s="7"/>
      <c r="L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J801" s="7"/>
      <c r="L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J802" s="7"/>
      <c r="L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J803" s="7"/>
      <c r="L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J804" s="7"/>
      <c r="L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J805" s="7"/>
      <c r="L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J806" s="7"/>
      <c r="L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J807" s="7"/>
      <c r="L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J808" s="7"/>
      <c r="L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J809" s="7"/>
      <c r="L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J810" s="7"/>
      <c r="L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J811" s="7"/>
      <c r="L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J812" s="7"/>
      <c r="L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J813" s="7"/>
      <c r="L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J814" s="7"/>
      <c r="L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J815" s="7"/>
      <c r="L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J816" s="7"/>
      <c r="L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J817" s="7"/>
      <c r="L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J818" s="7"/>
      <c r="L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J819" s="7"/>
      <c r="L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J820" s="7"/>
      <c r="L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J821" s="7"/>
      <c r="L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J822" s="7"/>
      <c r="L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J823" s="7"/>
      <c r="L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J824" s="7"/>
      <c r="L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J825" s="7"/>
      <c r="L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J826" s="7"/>
      <c r="L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J827" s="7"/>
      <c r="L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J828" s="7"/>
      <c r="L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J829" s="7"/>
      <c r="L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J830" s="7"/>
      <c r="L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J831" s="7"/>
      <c r="L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J832" s="7"/>
      <c r="L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J833" s="7"/>
      <c r="L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J834" s="7"/>
      <c r="L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J835" s="7"/>
      <c r="L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J836" s="7"/>
      <c r="L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J837" s="7"/>
      <c r="L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J838" s="7"/>
      <c r="L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J839" s="7"/>
      <c r="L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J840" s="7"/>
      <c r="L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J841" s="7"/>
      <c r="L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J842" s="7"/>
      <c r="L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J843" s="7"/>
      <c r="L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J844" s="7"/>
      <c r="L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J845" s="7"/>
      <c r="L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J846" s="7"/>
      <c r="L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J847" s="7"/>
      <c r="L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J848" s="7"/>
      <c r="L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J849" s="7"/>
      <c r="L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J850" s="7"/>
      <c r="L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J851" s="7"/>
      <c r="L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J852" s="7"/>
      <c r="L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J853" s="7"/>
      <c r="L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J854" s="7"/>
      <c r="L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J855" s="7"/>
      <c r="L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J856" s="7"/>
      <c r="L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J857" s="7"/>
      <c r="L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J858" s="7"/>
      <c r="L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J859" s="7"/>
      <c r="L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J860" s="7"/>
      <c r="L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J861" s="7"/>
      <c r="L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J862" s="7"/>
      <c r="L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J863" s="7"/>
      <c r="L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J864" s="7"/>
      <c r="L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J865" s="7"/>
      <c r="L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J866" s="7"/>
      <c r="L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J867" s="7"/>
      <c r="L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J868" s="7"/>
      <c r="L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J869" s="7"/>
      <c r="L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J870" s="7"/>
      <c r="L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J871" s="7"/>
      <c r="L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J872" s="7"/>
      <c r="L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J873" s="7"/>
      <c r="L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J874" s="7"/>
      <c r="L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J875" s="7"/>
      <c r="L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J876" s="7"/>
      <c r="L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J877" s="7"/>
      <c r="L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J878" s="7"/>
      <c r="L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J879" s="7"/>
      <c r="L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J880" s="7"/>
      <c r="L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J881" s="7"/>
      <c r="L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J882" s="7"/>
      <c r="L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J883" s="7"/>
      <c r="L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J884" s="7"/>
      <c r="L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J885" s="7"/>
      <c r="L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J886" s="7"/>
      <c r="L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J887" s="7"/>
      <c r="L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J888" s="7"/>
      <c r="L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J889" s="7"/>
      <c r="L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J890" s="7"/>
      <c r="L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J891" s="7"/>
      <c r="L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J892" s="7"/>
      <c r="L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J893" s="7"/>
      <c r="L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J894" s="7"/>
      <c r="L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J895" s="7"/>
      <c r="L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J896" s="7"/>
      <c r="L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J897" s="7"/>
      <c r="L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J898" s="7"/>
      <c r="L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J899" s="7"/>
      <c r="L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J900" s="7"/>
      <c r="L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J901" s="7"/>
      <c r="L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J902" s="7"/>
      <c r="L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J903" s="7"/>
      <c r="L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J904" s="7"/>
      <c r="L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J905" s="7"/>
      <c r="L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J906" s="7"/>
      <c r="L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J907" s="7"/>
      <c r="L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J908" s="7"/>
      <c r="L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J909" s="7"/>
      <c r="L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J910" s="7"/>
      <c r="L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J911" s="7"/>
      <c r="L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J912" s="7"/>
      <c r="L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J913" s="7"/>
      <c r="L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J914" s="7"/>
      <c r="L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J915" s="7"/>
      <c r="L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J916" s="7"/>
      <c r="L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J917" s="7"/>
      <c r="L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J918" s="7"/>
      <c r="L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J919" s="7"/>
      <c r="L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J920" s="7"/>
      <c r="L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J921" s="7"/>
      <c r="L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J922" s="7"/>
      <c r="L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J923" s="7"/>
      <c r="L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J924" s="7"/>
      <c r="L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J925" s="7"/>
      <c r="L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J926" s="7"/>
      <c r="L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J927" s="7"/>
      <c r="L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J928" s="7"/>
      <c r="L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J929" s="7"/>
      <c r="L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J930" s="7"/>
      <c r="L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J931" s="7"/>
      <c r="L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J932" s="7"/>
      <c r="L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J933" s="7"/>
      <c r="L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J934" s="7"/>
      <c r="L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J935" s="7"/>
      <c r="L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J936" s="7"/>
      <c r="L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J937" s="7"/>
      <c r="L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J938" s="7"/>
      <c r="L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J939" s="7"/>
      <c r="L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J940" s="7"/>
      <c r="L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J941" s="7"/>
      <c r="L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J942" s="7"/>
      <c r="L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J943" s="7"/>
      <c r="L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J944" s="7"/>
      <c r="L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J945" s="7"/>
      <c r="L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J946" s="7"/>
      <c r="L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J947" s="7"/>
      <c r="L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J948" s="7"/>
      <c r="L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J949" s="7"/>
      <c r="L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J950" s="7"/>
      <c r="L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J951" s="7"/>
      <c r="L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J952" s="7"/>
      <c r="L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J953" s="7"/>
      <c r="L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J954" s="7"/>
      <c r="L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J955" s="7"/>
      <c r="L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J956" s="7"/>
      <c r="L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J957" s="7"/>
      <c r="L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J958" s="7"/>
      <c r="L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J959" s="7"/>
      <c r="L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J960" s="7"/>
      <c r="L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J961" s="7"/>
      <c r="L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J962" s="7"/>
      <c r="L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J963" s="7"/>
      <c r="L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J964" s="7"/>
      <c r="L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J965" s="7"/>
      <c r="L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J966" s="7"/>
      <c r="L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J967" s="7"/>
      <c r="L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J968" s="7"/>
      <c r="L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J969" s="7"/>
      <c r="L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J970" s="7"/>
      <c r="L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J971" s="7"/>
      <c r="L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J972" s="7"/>
      <c r="L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J973" s="7"/>
      <c r="L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J974" s="7"/>
      <c r="L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J975" s="7"/>
      <c r="L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J976" s="7"/>
      <c r="L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J977" s="7"/>
      <c r="L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J978" s="7"/>
      <c r="L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J979" s="7"/>
      <c r="L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J980" s="7"/>
      <c r="L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J981" s="7"/>
      <c r="L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J982" s="7"/>
      <c r="L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J983" s="7"/>
      <c r="L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J984" s="7"/>
      <c r="L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J985" s="7"/>
      <c r="L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J986" s="7"/>
      <c r="L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J987" s="7"/>
      <c r="L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J988" s="7"/>
      <c r="L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J989" s="7"/>
      <c r="L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J990" s="7"/>
      <c r="L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J991" s="7"/>
      <c r="L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J992" s="7"/>
      <c r="L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J993" s="7"/>
      <c r="L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  <c r="J994" s="7"/>
      <c r="L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J995" s="7"/>
      <c r="L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  <c r="J996" s="7"/>
      <c r="L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J997" s="7"/>
      <c r="L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  <c r="J998" s="7"/>
      <c r="L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  <c r="J999" s="7"/>
      <c r="L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  <c r="J1000" s="7"/>
      <c r="L1000" s="7"/>
    </row>
  </sheetData>
  <autoFilter ref="A1:Z7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15.75" hidden="false" customHeight="true" outlineLevel="0" collapsed="false">
      <c r="A1" s="8" t="s">
        <v>0</v>
      </c>
      <c r="B1" s="8" t="s">
        <v>392</v>
      </c>
      <c r="C1" s="8" t="s">
        <v>56</v>
      </c>
      <c r="D1" s="8" t="s">
        <v>54</v>
      </c>
      <c r="E1" s="8" t="s">
        <v>393</v>
      </c>
      <c r="F1" s="8" t="s">
        <v>59</v>
      </c>
      <c r="G1" s="8" t="s">
        <v>60</v>
      </c>
      <c r="H1" s="8" t="s">
        <v>6</v>
      </c>
      <c r="I1" s="8" t="s">
        <v>11</v>
      </c>
    </row>
    <row r="2" customFormat="false" ht="15.75" hidden="false" customHeight="true" outlineLevel="0" collapsed="false">
      <c r="A2" s="7"/>
      <c r="B2" s="7"/>
      <c r="C2" s="7"/>
      <c r="D2" s="7"/>
      <c r="E2" s="7"/>
      <c r="F2" s="7"/>
    </row>
    <row r="3" customFormat="false" ht="15.75" hidden="false" customHeight="true" outlineLevel="0" collapsed="false">
      <c r="A3" s="7"/>
      <c r="B3" s="7"/>
      <c r="C3" s="7"/>
      <c r="D3" s="7"/>
      <c r="E3" s="7"/>
      <c r="F3" s="7"/>
    </row>
    <row r="4" customFormat="false" ht="15.75" hidden="false" customHeight="true" outlineLevel="0" collapsed="false">
      <c r="A4" s="7"/>
      <c r="B4" s="7"/>
      <c r="C4" s="7"/>
      <c r="D4" s="7"/>
      <c r="E4" s="7"/>
      <c r="F4" s="7"/>
    </row>
    <row r="5" customFormat="false" ht="15.75" hidden="false" customHeight="true" outlineLevel="0" collapsed="false">
      <c r="A5" s="7"/>
      <c r="B5" s="7"/>
      <c r="C5" s="7"/>
      <c r="D5" s="7"/>
      <c r="E5" s="7"/>
      <c r="F5" s="7"/>
    </row>
    <row r="6" customFormat="false" ht="15.75" hidden="false" customHeight="true" outlineLevel="0" collapsed="false">
      <c r="A6" s="7"/>
      <c r="B6" s="7"/>
      <c r="C6" s="7"/>
      <c r="D6" s="7"/>
      <c r="E6" s="7"/>
      <c r="F6" s="7"/>
    </row>
    <row r="7" customFormat="false" ht="15.75" hidden="false" customHeight="true" outlineLevel="0" collapsed="false">
      <c r="A7" s="7"/>
      <c r="B7" s="7"/>
      <c r="C7" s="7"/>
      <c r="D7" s="7"/>
      <c r="E7" s="7"/>
      <c r="F7" s="7"/>
    </row>
    <row r="8" customFormat="false" ht="15.75" hidden="false" customHeight="true" outlineLevel="0" collapsed="false">
      <c r="A8" s="7"/>
      <c r="B8" s="7"/>
      <c r="C8" s="7"/>
      <c r="D8" s="7"/>
      <c r="E8" s="7"/>
      <c r="F8" s="7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</row>
    <row r="10" customFormat="false" ht="15.75" hidden="false" customHeight="true" outlineLevel="0" collapsed="false">
      <c r="A10" s="7"/>
      <c r="B10" s="7"/>
      <c r="C10" s="7"/>
      <c r="D10" s="7"/>
      <c r="E10" s="7"/>
      <c r="F10" s="7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</row>
    <row r="12" customFormat="false" ht="15.75" hidden="false" customHeight="true" outlineLevel="0" collapsed="false">
      <c r="A12" s="7"/>
      <c r="B12" s="7"/>
      <c r="C12" s="7"/>
      <c r="D12" s="7"/>
      <c r="E12" s="7"/>
      <c r="F12" s="7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</row>
    <row r="14" customFormat="false" ht="15.75" hidden="false" customHeight="true" outlineLevel="0" collapsed="false">
      <c r="A14" s="7"/>
      <c r="B14" s="7"/>
      <c r="C14" s="7"/>
      <c r="D14" s="7"/>
      <c r="E14" s="7"/>
      <c r="F14" s="7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</row>
    <row r="16" customFormat="false" ht="15.75" hidden="false" customHeight="true" outlineLevel="0" collapsed="false">
      <c r="A16" s="7"/>
      <c r="B16" s="7"/>
      <c r="C16" s="7"/>
      <c r="D16" s="7"/>
      <c r="E16" s="7"/>
      <c r="F16" s="7"/>
    </row>
    <row r="17" customFormat="false" ht="15.75" hidden="false" customHeight="true" outlineLevel="0" collapsed="false">
      <c r="A17" s="7"/>
      <c r="B17" s="7"/>
      <c r="C17" s="7"/>
      <c r="D17" s="7"/>
      <c r="E17" s="7"/>
      <c r="F17" s="7"/>
    </row>
    <row r="18" customFormat="false" ht="15.75" hidden="false" customHeight="true" outlineLevel="0" collapsed="false">
      <c r="A18" s="7"/>
      <c r="B18" s="7"/>
      <c r="C18" s="7"/>
      <c r="D18" s="7"/>
      <c r="E18" s="7"/>
      <c r="F18" s="7"/>
    </row>
    <row r="19" customFormat="false" ht="15.75" hidden="false" customHeight="true" outlineLevel="0" collapsed="false">
      <c r="A19" s="7"/>
      <c r="B19" s="7"/>
      <c r="C19" s="7"/>
      <c r="D19" s="7"/>
      <c r="E19" s="7"/>
      <c r="F19" s="7"/>
    </row>
    <row r="20" customFormat="false" ht="15.75" hidden="false" customHeight="true" outlineLevel="0" collapsed="false">
      <c r="A20" s="7"/>
      <c r="B20" s="7"/>
      <c r="C20" s="7"/>
      <c r="D20" s="7"/>
      <c r="E20" s="7"/>
      <c r="F20" s="7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45" hidden="false" customHeight="true" outlineLevel="0" collapsed="false">
      <c r="A1" s="4" t="s">
        <v>394</v>
      </c>
      <c r="B1" s="4" t="s">
        <v>395</v>
      </c>
      <c r="C1" s="4" t="s">
        <v>54</v>
      </c>
      <c r="D1" s="4" t="s">
        <v>0</v>
      </c>
      <c r="E1" s="4" t="s">
        <v>3</v>
      </c>
      <c r="F1" s="4" t="s">
        <v>396</v>
      </c>
      <c r="G1" s="4" t="s">
        <v>397</v>
      </c>
      <c r="H1" s="4" t="s">
        <v>398</v>
      </c>
      <c r="I1" s="4" t="s">
        <v>399</v>
      </c>
      <c r="J1" s="4" t="s">
        <v>400</v>
      </c>
      <c r="K1" s="4" t="s">
        <v>401</v>
      </c>
      <c r="L1" s="4" t="s">
        <v>402</v>
      </c>
      <c r="M1" s="4" t="s">
        <v>403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.75" hidden="false" customHeight="true" outlineLevel="0" collapsed="false">
      <c r="A2" s="8" t="s">
        <v>404</v>
      </c>
      <c r="B2" s="8" t="s">
        <v>405</v>
      </c>
      <c r="C2" s="8" t="s">
        <v>406</v>
      </c>
      <c r="D2" s="8" t="s">
        <v>29</v>
      </c>
      <c r="E2" s="8" t="s">
        <v>407</v>
      </c>
      <c r="F2" s="8" t="s">
        <v>408</v>
      </c>
      <c r="G2" s="8" t="s">
        <v>409</v>
      </c>
      <c r="H2" s="8" t="s">
        <v>410</v>
      </c>
      <c r="I2" s="8" t="s">
        <v>411</v>
      </c>
      <c r="J2" s="8" t="s">
        <v>412</v>
      </c>
      <c r="K2" s="8" t="s">
        <v>413</v>
      </c>
      <c r="L2" s="8" t="s">
        <v>414</v>
      </c>
      <c r="M2" s="8" t="s">
        <v>415</v>
      </c>
    </row>
    <row r="3" customFormat="false" ht="15.75" hidden="false" customHeight="true" outlineLevel="0" collapsed="false">
      <c r="A3" s="7"/>
      <c r="B3" s="7"/>
      <c r="C3" s="7"/>
      <c r="D3" s="7"/>
      <c r="E3" s="7"/>
      <c r="F3" s="7"/>
    </row>
    <row r="4" customFormat="false" ht="15.75" hidden="false" customHeight="true" outlineLevel="0" collapsed="false">
      <c r="A4" s="7"/>
      <c r="B4" s="7"/>
      <c r="C4" s="7"/>
      <c r="D4" s="7"/>
      <c r="E4" s="7"/>
      <c r="F4" s="7"/>
    </row>
    <row r="5" customFormat="false" ht="15.75" hidden="false" customHeight="true" outlineLevel="0" collapsed="false">
      <c r="A5" s="7"/>
      <c r="B5" s="7"/>
      <c r="C5" s="7"/>
      <c r="D5" s="7"/>
      <c r="E5" s="7"/>
      <c r="F5" s="7"/>
    </row>
    <row r="6" customFormat="false" ht="15.75" hidden="false" customHeight="true" outlineLevel="0" collapsed="false">
      <c r="A6" s="7"/>
      <c r="B6" s="7"/>
      <c r="C6" s="7"/>
      <c r="D6" s="7"/>
      <c r="E6" s="7"/>
      <c r="F6" s="7"/>
    </row>
    <row r="7" customFormat="false" ht="15.75" hidden="false" customHeight="true" outlineLevel="0" collapsed="false">
      <c r="A7" s="7"/>
      <c r="B7" s="7"/>
      <c r="C7" s="7"/>
      <c r="D7" s="7"/>
      <c r="E7" s="7"/>
      <c r="F7" s="7"/>
    </row>
    <row r="8" customFormat="false" ht="15.75" hidden="false" customHeight="true" outlineLevel="0" collapsed="false">
      <c r="A8" s="7"/>
      <c r="B8" s="7"/>
      <c r="C8" s="7"/>
      <c r="D8" s="7"/>
      <c r="E8" s="7"/>
      <c r="F8" s="7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</row>
    <row r="10" customFormat="false" ht="15.75" hidden="false" customHeight="true" outlineLevel="0" collapsed="false">
      <c r="A10" s="7"/>
      <c r="B10" s="7"/>
      <c r="C10" s="7"/>
      <c r="D10" s="7"/>
      <c r="E10" s="7"/>
      <c r="F10" s="7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</row>
    <row r="12" customFormat="false" ht="15.75" hidden="false" customHeight="true" outlineLevel="0" collapsed="false">
      <c r="A12" s="7"/>
      <c r="B12" s="7"/>
      <c r="C12" s="7"/>
      <c r="D12" s="7"/>
      <c r="E12" s="7"/>
      <c r="F12" s="7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</row>
    <row r="14" customFormat="false" ht="15.75" hidden="false" customHeight="true" outlineLevel="0" collapsed="false">
      <c r="A14" s="7"/>
      <c r="B14" s="7"/>
      <c r="C14" s="7"/>
      <c r="D14" s="7"/>
      <c r="E14" s="7"/>
      <c r="F14" s="7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</row>
    <row r="16" customFormat="false" ht="15.75" hidden="false" customHeight="true" outlineLevel="0" collapsed="false">
      <c r="A16" s="7"/>
      <c r="B16" s="7"/>
      <c r="C16" s="7"/>
      <c r="D16" s="7"/>
      <c r="E16" s="7"/>
      <c r="F16" s="7"/>
    </row>
    <row r="17" customFormat="false" ht="15.75" hidden="false" customHeight="true" outlineLevel="0" collapsed="false">
      <c r="A17" s="7"/>
      <c r="B17" s="7"/>
      <c r="C17" s="7"/>
      <c r="D17" s="7"/>
      <c r="E17" s="7"/>
      <c r="F17" s="7"/>
    </row>
    <row r="18" customFormat="false" ht="15.75" hidden="false" customHeight="true" outlineLevel="0" collapsed="false">
      <c r="A18" s="7"/>
      <c r="B18" s="7"/>
      <c r="C18" s="7"/>
      <c r="D18" s="7"/>
      <c r="E18" s="7"/>
      <c r="F18" s="7"/>
    </row>
    <row r="19" customFormat="false" ht="15.75" hidden="false" customHeight="true" outlineLevel="0" collapsed="false">
      <c r="A19" s="7"/>
      <c r="B19" s="7"/>
      <c r="C19" s="7"/>
      <c r="D19" s="7"/>
      <c r="E19" s="7"/>
      <c r="F19" s="7"/>
    </row>
    <row r="20" customFormat="false" ht="15.75" hidden="false" customHeight="true" outlineLevel="0" collapsed="false">
      <c r="A20" s="7"/>
      <c r="B20" s="7"/>
      <c r="C20" s="7"/>
      <c r="D20" s="7"/>
      <c r="E20" s="7"/>
      <c r="F20" s="7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4" min="4" style="0" width="45"/>
    <col collapsed="false" customWidth="true" hidden="false" outlineLevel="0" max="7" min="7" style="0" width="45"/>
  </cols>
  <sheetData>
    <row r="1" customFormat="false" ht="15.75" hidden="false" customHeight="true" outlineLevel="0" collapsed="false">
      <c r="A1" s="8" t="s">
        <v>394</v>
      </c>
      <c r="B1" s="8" t="s">
        <v>0</v>
      </c>
      <c r="C1" s="8" t="s">
        <v>54</v>
      </c>
      <c r="D1" s="8" t="s">
        <v>416</v>
      </c>
      <c r="E1" s="8" t="s">
        <v>58</v>
      </c>
      <c r="F1" s="8" t="s">
        <v>417</v>
      </c>
      <c r="G1" s="8" t="s">
        <v>418</v>
      </c>
      <c r="H1" s="8" t="s">
        <v>11</v>
      </c>
    </row>
    <row r="2" customFormat="false" ht="15.75" hidden="false" customHeight="true" outlineLevel="0" collapsed="false">
      <c r="A2" s="8" t="s">
        <v>419</v>
      </c>
      <c r="B2" s="8" t="s">
        <v>29</v>
      </c>
      <c r="C2" s="8" t="s">
        <v>406</v>
      </c>
      <c r="D2" s="8" t="s">
        <v>420</v>
      </c>
      <c r="E2" s="8" t="s">
        <v>421</v>
      </c>
      <c r="G2" s="8" t="s">
        <v>422</v>
      </c>
      <c r="H2" s="8" t="s">
        <v>423</v>
      </c>
    </row>
    <row r="3" customFormat="false" ht="15.75" hidden="false" customHeight="true" outlineLevel="0" collapsed="false">
      <c r="A3" s="8" t="s">
        <v>419</v>
      </c>
      <c r="B3" s="8" t="s">
        <v>29</v>
      </c>
      <c r="C3" s="8" t="s">
        <v>406</v>
      </c>
      <c r="D3" s="8" t="s">
        <v>424</v>
      </c>
      <c r="E3" s="8" t="s">
        <v>425</v>
      </c>
      <c r="G3" s="8" t="s">
        <v>426</v>
      </c>
    </row>
    <row r="4" customFormat="false" ht="15.75" hidden="false" customHeight="true" outlineLevel="0" collapsed="false">
      <c r="A4" s="8" t="s">
        <v>419</v>
      </c>
      <c r="B4" s="8" t="s">
        <v>29</v>
      </c>
      <c r="C4" s="8" t="s">
        <v>406</v>
      </c>
      <c r="D4" s="8" t="s">
        <v>427</v>
      </c>
      <c r="E4" s="8" t="s">
        <v>425</v>
      </c>
      <c r="G4" s="8" t="s">
        <v>428</v>
      </c>
      <c r="H4" s="8" t="s">
        <v>429</v>
      </c>
    </row>
    <row r="5" customFormat="false" ht="15.75" hidden="false" customHeight="true" outlineLevel="0" collapsed="false">
      <c r="A5" s="8" t="s">
        <v>419</v>
      </c>
      <c r="B5" s="8" t="s">
        <v>29</v>
      </c>
      <c r="C5" s="8" t="s">
        <v>406</v>
      </c>
      <c r="D5" s="8" t="s">
        <v>430</v>
      </c>
      <c r="E5" s="8" t="s">
        <v>431</v>
      </c>
      <c r="F5" s="8" t="s">
        <v>413</v>
      </c>
      <c r="G5" s="8" t="s">
        <v>432</v>
      </c>
    </row>
    <row r="6" customFormat="false" ht="15.75" hidden="false" customHeight="true" outlineLevel="0" collapsed="false">
      <c r="A6" s="8" t="s">
        <v>419</v>
      </c>
      <c r="B6" s="8" t="s">
        <v>29</v>
      </c>
      <c r="C6" s="8" t="s">
        <v>406</v>
      </c>
      <c r="D6" s="8" t="s">
        <v>433</v>
      </c>
      <c r="E6" s="8" t="s">
        <v>89</v>
      </c>
      <c r="G6" s="8" t="s">
        <v>434</v>
      </c>
    </row>
    <row r="7" customFormat="false" ht="15.75" hidden="false" customHeight="true" outlineLevel="0" collapsed="false">
      <c r="A7" s="8" t="s">
        <v>419</v>
      </c>
      <c r="B7" s="8" t="s">
        <v>29</v>
      </c>
      <c r="C7" s="8" t="s">
        <v>406</v>
      </c>
      <c r="D7" s="8" t="s">
        <v>435</v>
      </c>
      <c r="E7" s="8" t="s">
        <v>436</v>
      </c>
      <c r="G7" s="8" t="s">
        <v>437</v>
      </c>
      <c r="H7" s="8" t="s">
        <v>438</v>
      </c>
    </row>
    <row r="8" customFormat="false" ht="15.75" hidden="false" customHeight="true" outlineLevel="0" collapsed="false">
      <c r="A8" s="7"/>
      <c r="B8" s="7"/>
      <c r="C8" s="7"/>
      <c r="D8" s="7"/>
      <c r="E8" s="7"/>
      <c r="F8" s="7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</row>
    <row r="10" customFormat="false" ht="15.75" hidden="false" customHeight="true" outlineLevel="0" collapsed="false">
      <c r="A10" s="7"/>
      <c r="B10" s="7"/>
      <c r="C10" s="7"/>
      <c r="D10" s="7"/>
      <c r="E10" s="7"/>
      <c r="F10" s="7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</row>
    <row r="12" customFormat="false" ht="15.75" hidden="false" customHeight="true" outlineLevel="0" collapsed="false">
      <c r="A12" s="7"/>
      <c r="B12" s="7"/>
      <c r="C12" s="7"/>
      <c r="D12" s="7"/>
      <c r="E12" s="7"/>
      <c r="F12" s="7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</row>
    <row r="14" customFormat="false" ht="15.75" hidden="false" customHeight="true" outlineLevel="0" collapsed="false">
      <c r="A14" s="7"/>
      <c r="B14" s="7"/>
      <c r="C14" s="7"/>
      <c r="D14" s="7"/>
      <c r="E14" s="7"/>
      <c r="F14" s="7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</row>
    <row r="16" customFormat="false" ht="15.75" hidden="false" customHeight="true" outlineLevel="0" collapsed="false">
      <c r="A16" s="7"/>
      <c r="B16" s="7"/>
      <c r="C16" s="7"/>
      <c r="D16" s="7"/>
      <c r="E16" s="7"/>
      <c r="F16" s="7"/>
    </row>
    <row r="17" customFormat="false" ht="15.75" hidden="false" customHeight="true" outlineLevel="0" collapsed="false">
      <c r="A17" s="7"/>
      <c r="B17" s="7"/>
      <c r="C17" s="7"/>
      <c r="D17" s="7"/>
      <c r="E17" s="7"/>
      <c r="F17" s="7"/>
    </row>
    <row r="18" customFormat="false" ht="15.75" hidden="false" customHeight="true" outlineLevel="0" collapsed="false">
      <c r="A18" s="7"/>
      <c r="B18" s="7"/>
      <c r="C18" s="7"/>
      <c r="D18" s="7"/>
      <c r="E18" s="7"/>
      <c r="F18" s="7"/>
    </row>
    <row r="19" customFormat="false" ht="15.75" hidden="false" customHeight="true" outlineLevel="0" collapsed="false">
      <c r="A19" s="7"/>
      <c r="B19" s="7"/>
      <c r="C19" s="7"/>
      <c r="D19" s="7"/>
      <c r="E19" s="7"/>
      <c r="F19" s="7"/>
    </row>
    <row r="20" customFormat="false" ht="15.75" hidden="false" customHeight="true" outlineLevel="0" collapsed="false">
      <c r="A20" s="7"/>
      <c r="B20" s="7"/>
      <c r="C20" s="7"/>
      <c r="D20" s="7"/>
      <c r="E20" s="7"/>
      <c r="F20" s="7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15.75" hidden="false" customHeight="true" outlineLevel="0" collapsed="false">
      <c r="A1" s="8" t="s">
        <v>394</v>
      </c>
      <c r="B1" s="8" t="s">
        <v>54</v>
      </c>
      <c r="C1" s="8" t="s">
        <v>0</v>
      </c>
      <c r="D1" s="8" t="s">
        <v>439</v>
      </c>
      <c r="E1" s="8" t="s">
        <v>440</v>
      </c>
      <c r="F1" s="8" t="s">
        <v>59</v>
      </c>
      <c r="G1" s="8" t="s">
        <v>441</v>
      </c>
      <c r="H1" s="8" t="s">
        <v>442</v>
      </c>
    </row>
    <row r="2" customFormat="false" ht="15.75" hidden="false" customHeight="true" outlineLevel="0" collapsed="false">
      <c r="A2" s="7"/>
      <c r="B2" s="7"/>
      <c r="C2" s="7"/>
      <c r="D2" s="7"/>
      <c r="E2" s="7"/>
      <c r="F2" s="7"/>
    </row>
    <row r="3" customFormat="false" ht="15.75" hidden="false" customHeight="true" outlineLevel="0" collapsed="false">
      <c r="A3" s="7"/>
      <c r="B3" s="7"/>
      <c r="C3" s="7"/>
      <c r="D3" s="7"/>
      <c r="E3" s="7"/>
      <c r="F3" s="7"/>
    </row>
    <row r="4" customFormat="false" ht="15.75" hidden="false" customHeight="true" outlineLevel="0" collapsed="false">
      <c r="A4" s="7"/>
      <c r="B4" s="7"/>
      <c r="C4" s="7"/>
      <c r="D4" s="7"/>
      <c r="E4" s="7"/>
      <c r="F4" s="7"/>
    </row>
    <row r="5" customFormat="false" ht="15.75" hidden="false" customHeight="true" outlineLevel="0" collapsed="false">
      <c r="A5" s="7"/>
      <c r="B5" s="7"/>
      <c r="C5" s="7"/>
      <c r="D5" s="7"/>
      <c r="E5" s="7"/>
      <c r="F5" s="7"/>
    </row>
    <row r="6" customFormat="false" ht="15.75" hidden="false" customHeight="true" outlineLevel="0" collapsed="false">
      <c r="A6" s="7"/>
      <c r="B6" s="7"/>
      <c r="C6" s="7"/>
      <c r="D6" s="7"/>
      <c r="E6" s="7"/>
      <c r="F6" s="7"/>
    </row>
    <row r="7" customFormat="false" ht="15.75" hidden="false" customHeight="true" outlineLevel="0" collapsed="false">
      <c r="A7" s="7"/>
      <c r="B7" s="7"/>
      <c r="C7" s="7"/>
      <c r="D7" s="7"/>
      <c r="E7" s="7"/>
      <c r="F7" s="7"/>
    </row>
    <row r="8" customFormat="false" ht="15.75" hidden="false" customHeight="true" outlineLevel="0" collapsed="false">
      <c r="A8" s="7"/>
      <c r="B8" s="7"/>
      <c r="C8" s="7"/>
      <c r="D8" s="7"/>
      <c r="E8" s="7"/>
      <c r="F8" s="7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</row>
    <row r="10" customFormat="false" ht="15.75" hidden="false" customHeight="true" outlineLevel="0" collapsed="false">
      <c r="A10" s="7"/>
      <c r="B10" s="7"/>
      <c r="C10" s="7"/>
      <c r="D10" s="7"/>
      <c r="E10" s="7"/>
      <c r="F10" s="7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</row>
    <row r="12" customFormat="false" ht="15.75" hidden="false" customHeight="true" outlineLevel="0" collapsed="false">
      <c r="A12" s="7"/>
      <c r="B12" s="7"/>
      <c r="C12" s="7"/>
      <c r="D12" s="7"/>
      <c r="E12" s="7"/>
      <c r="F12" s="7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</row>
    <row r="14" customFormat="false" ht="15.75" hidden="false" customHeight="true" outlineLevel="0" collapsed="false">
      <c r="A14" s="7"/>
      <c r="B14" s="7"/>
      <c r="C14" s="7"/>
      <c r="D14" s="7"/>
      <c r="E14" s="7"/>
      <c r="F14" s="7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</row>
    <row r="16" customFormat="false" ht="15.75" hidden="false" customHeight="true" outlineLevel="0" collapsed="false">
      <c r="A16" s="7"/>
      <c r="B16" s="7"/>
      <c r="C16" s="7"/>
      <c r="D16" s="7"/>
      <c r="E16" s="7"/>
      <c r="F16" s="7"/>
    </row>
    <row r="17" customFormat="false" ht="15.75" hidden="false" customHeight="true" outlineLevel="0" collapsed="false">
      <c r="A17" s="7"/>
      <c r="B17" s="7"/>
      <c r="C17" s="7"/>
      <c r="D17" s="7"/>
      <c r="E17" s="7"/>
      <c r="F17" s="7"/>
    </row>
    <row r="18" customFormat="false" ht="15.75" hidden="false" customHeight="true" outlineLevel="0" collapsed="false">
      <c r="A18" s="7"/>
      <c r="B18" s="7"/>
      <c r="C18" s="7"/>
      <c r="D18" s="7"/>
      <c r="E18" s="7"/>
      <c r="F18" s="7"/>
    </row>
    <row r="19" customFormat="false" ht="15.75" hidden="false" customHeight="true" outlineLevel="0" collapsed="false">
      <c r="A19" s="7"/>
      <c r="B19" s="7"/>
      <c r="C19" s="7"/>
      <c r="D19" s="7"/>
      <c r="E19" s="7"/>
      <c r="F19" s="7"/>
    </row>
    <row r="20" customFormat="false" ht="15.75" hidden="false" customHeight="true" outlineLevel="0" collapsed="false">
      <c r="A20" s="7"/>
      <c r="B20" s="7"/>
      <c r="C20" s="7"/>
      <c r="D20" s="7"/>
      <c r="E20" s="7"/>
      <c r="F20" s="7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15.75" hidden="false" customHeight="true" outlineLevel="0" collapsed="false">
      <c r="A1" s="8" t="s">
        <v>0</v>
      </c>
      <c r="B1" s="8" t="s">
        <v>443</v>
      </c>
      <c r="C1" s="8" t="s">
        <v>444</v>
      </c>
      <c r="D1" s="8" t="s">
        <v>59</v>
      </c>
      <c r="E1" s="8" t="s">
        <v>445</v>
      </c>
      <c r="F1" s="8" t="s">
        <v>446</v>
      </c>
      <c r="G1" s="8" t="s">
        <v>447</v>
      </c>
      <c r="H1" s="8" t="s">
        <v>11</v>
      </c>
    </row>
    <row r="2" customFormat="false" ht="15.75" hidden="false" customHeight="true" outlineLevel="0" collapsed="false">
      <c r="A2" s="7"/>
      <c r="B2" s="7"/>
      <c r="C2" s="7"/>
      <c r="D2" s="7"/>
      <c r="E2" s="7"/>
      <c r="F2" s="7"/>
    </row>
    <row r="3" customFormat="false" ht="15.75" hidden="false" customHeight="true" outlineLevel="0" collapsed="false">
      <c r="A3" s="7"/>
      <c r="B3" s="7"/>
      <c r="C3" s="7"/>
      <c r="D3" s="7"/>
      <c r="E3" s="7"/>
      <c r="F3" s="7"/>
    </row>
    <row r="4" customFormat="false" ht="15.75" hidden="false" customHeight="true" outlineLevel="0" collapsed="false">
      <c r="A4" s="7"/>
      <c r="B4" s="7"/>
      <c r="C4" s="7"/>
      <c r="D4" s="7"/>
      <c r="E4" s="7"/>
      <c r="F4" s="7"/>
    </row>
    <row r="5" customFormat="false" ht="15.75" hidden="false" customHeight="true" outlineLevel="0" collapsed="false">
      <c r="A5" s="7"/>
      <c r="B5" s="7"/>
      <c r="C5" s="7"/>
      <c r="D5" s="7"/>
      <c r="E5" s="7"/>
      <c r="F5" s="7"/>
    </row>
    <row r="6" customFormat="false" ht="15.75" hidden="false" customHeight="true" outlineLevel="0" collapsed="false">
      <c r="A6" s="7"/>
      <c r="B6" s="7"/>
      <c r="C6" s="7"/>
      <c r="D6" s="7"/>
      <c r="E6" s="7"/>
      <c r="F6" s="7"/>
    </row>
    <row r="7" customFormat="false" ht="15.75" hidden="false" customHeight="true" outlineLevel="0" collapsed="false">
      <c r="A7" s="7"/>
      <c r="B7" s="7"/>
      <c r="C7" s="7"/>
      <c r="D7" s="7"/>
      <c r="E7" s="7"/>
      <c r="F7" s="7"/>
    </row>
    <row r="8" customFormat="false" ht="15.75" hidden="false" customHeight="true" outlineLevel="0" collapsed="false">
      <c r="A8" s="7"/>
      <c r="B8" s="7"/>
      <c r="C8" s="7"/>
      <c r="D8" s="7"/>
      <c r="E8" s="7"/>
      <c r="F8" s="7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</row>
    <row r="10" customFormat="false" ht="15.75" hidden="false" customHeight="true" outlineLevel="0" collapsed="false">
      <c r="A10" s="7"/>
      <c r="B10" s="7"/>
      <c r="C10" s="7"/>
      <c r="D10" s="7"/>
      <c r="E10" s="7"/>
      <c r="F10" s="7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</row>
    <row r="12" customFormat="false" ht="15.75" hidden="false" customHeight="true" outlineLevel="0" collapsed="false">
      <c r="A12" s="7"/>
      <c r="B12" s="7"/>
      <c r="C12" s="7"/>
      <c r="D12" s="7"/>
      <c r="E12" s="7"/>
      <c r="F12" s="7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</row>
    <row r="14" customFormat="false" ht="15.75" hidden="false" customHeight="true" outlineLevel="0" collapsed="false">
      <c r="A14" s="7"/>
      <c r="B14" s="7"/>
      <c r="C14" s="7"/>
      <c r="D14" s="7"/>
      <c r="E14" s="7"/>
      <c r="F14" s="7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</row>
    <row r="16" customFormat="false" ht="15.75" hidden="false" customHeight="true" outlineLevel="0" collapsed="false">
      <c r="A16" s="7"/>
      <c r="B16" s="7"/>
      <c r="C16" s="7"/>
      <c r="D16" s="7"/>
      <c r="E16" s="7"/>
      <c r="F16" s="7"/>
    </row>
    <row r="17" customFormat="false" ht="15.75" hidden="false" customHeight="true" outlineLevel="0" collapsed="false">
      <c r="A17" s="7"/>
      <c r="B17" s="7"/>
      <c r="C17" s="7"/>
      <c r="D17" s="7"/>
      <c r="E17" s="7"/>
      <c r="F17" s="7"/>
    </row>
    <row r="18" customFormat="false" ht="15.75" hidden="false" customHeight="true" outlineLevel="0" collapsed="false">
      <c r="A18" s="7"/>
      <c r="B18" s="7"/>
      <c r="C18" s="7"/>
      <c r="D18" s="7"/>
      <c r="E18" s="7"/>
      <c r="F18" s="7"/>
    </row>
    <row r="19" customFormat="false" ht="15.75" hidden="false" customHeight="true" outlineLevel="0" collapsed="false">
      <c r="A19" s="7"/>
      <c r="B19" s="7"/>
      <c r="C19" s="7"/>
      <c r="D19" s="7"/>
      <c r="E19" s="7"/>
      <c r="F19" s="7"/>
    </row>
    <row r="20" customFormat="false" ht="15.75" hidden="false" customHeight="true" outlineLevel="0" collapsed="false">
      <c r="A20" s="7"/>
      <c r="B20" s="7"/>
      <c r="C20" s="7"/>
      <c r="D20" s="7"/>
      <c r="E20" s="7"/>
      <c r="F20" s="7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28.13"/>
    <col collapsed="false" customWidth="true" hidden="false" outlineLevel="0" max="4" min="4" style="0" width="15.25"/>
    <col collapsed="false" customWidth="true" hidden="false" outlineLevel="0" max="7" min="7" style="0" width="21.63"/>
  </cols>
  <sheetData>
    <row r="1" customFormat="false" ht="15.75" hidden="false" customHeight="true" outlineLevel="0" collapsed="false">
      <c r="A1" s="5" t="s">
        <v>0</v>
      </c>
      <c r="B1" s="5" t="s">
        <v>1</v>
      </c>
      <c r="C1" s="5" t="s">
        <v>3</v>
      </c>
      <c r="D1" s="5" t="s">
        <v>448</v>
      </c>
      <c r="E1" s="5" t="s">
        <v>449</v>
      </c>
      <c r="F1" s="5" t="s">
        <v>2</v>
      </c>
      <c r="G1" s="5" t="s">
        <v>450</v>
      </c>
      <c r="H1" s="5" t="s">
        <v>11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true" outlineLevel="0" collapsed="false">
      <c r="A2" s="5" t="s">
        <v>12</v>
      </c>
      <c r="B2" s="5" t="s">
        <v>13</v>
      </c>
      <c r="C2" s="5" t="s">
        <v>15</v>
      </c>
      <c r="D2" s="5" t="s">
        <v>43</v>
      </c>
      <c r="E2" s="5" t="s">
        <v>14</v>
      </c>
      <c r="F2" s="5" t="s">
        <v>31</v>
      </c>
      <c r="G2" s="5" t="s">
        <v>451</v>
      </c>
      <c r="H2" s="5" t="s">
        <v>452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.75" hidden="false" customHeight="true" outlineLevel="0" collapsed="false">
      <c r="A3" s="5" t="s">
        <v>23</v>
      </c>
      <c r="B3" s="5" t="s">
        <v>24</v>
      </c>
      <c r="C3" s="5" t="s">
        <v>25</v>
      </c>
      <c r="D3" s="5" t="s">
        <v>19</v>
      </c>
      <c r="E3" s="5" t="s">
        <v>14</v>
      </c>
      <c r="F3" s="5" t="s">
        <v>31</v>
      </c>
      <c r="G3" s="5" t="s">
        <v>453</v>
      </c>
      <c r="H3" s="5" t="s">
        <v>454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.75" hidden="false" customHeight="true" outlineLevel="0" collapsed="false">
      <c r="A4" s="5" t="s">
        <v>29</v>
      </c>
      <c r="B4" s="5" t="s">
        <v>30</v>
      </c>
      <c r="C4" s="5" t="s">
        <v>31</v>
      </c>
      <c r="D4" s="5" t="s">
        <v>43</v>
      </c>
      <c r="E4" s="5" t="s">
        <v>14</v>
      </c>
      <c r="F4" s="5" t="s">
        <v>31</v>
      </c>
      <c r="G4" s="5" t="s">
        <v>455</v>
      </c>
      <c r="H4" s="5" t="s">
        <v>456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.75" hidden="false" customHeight="true" outlineLevel="0" collapsed="false">
      <c r="A5" s="5" t="s">
        <v>35</v>
      </c>
      <c r="B5" s="5" t="s">
        <v>36</v>
      </c>
      <c r="C5" s="5" t="s">
        <v>25</v>
      </c>
      <c r="D5" s="5" t="s">
        <v>43</v>
      </c>
      <c r="E5" s="5" t="s">
        <v>14</v>
      </c>
      <c r="F5" s="5" t="s">
        <v>31</v>
      </c>
      <c r="G5" s="5" t="s">
        <v>457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5.75" hidden="false" customHeight="true" outlineLevel="0" collapsed="false">
      <c r="A6" s="5" t="s">
        <v>39</v>
      </c>
      <c r="B6" s="5" t="s">
        <v>40</v>
      </c>
      <c r="C6" s="5" t="s">
        <v>15</v>
      </c>
      <c r="D6" s="5" t="s">
        <v>19</v>
      </c>
      <c r="E6" s="5" t="s">
        <v>14</v>
      </c>
      <c r="F6" s="5" t="s">
        <v>31</v>
      </c>
      <c r="G6" s="5" t="s">
        <v>458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.75" hidden="false" customHeight="true" outlineLevel="0" collapsed="false">
      <c r="A7" s="5" t="s">
        <v>44</v>
      </c>
      <c r="B7" s="5" t="s">
        <v>45</v>
      </c>
      <c r="C7" s="5" t="s">
        <v>31</v>
      </c>
      <c r="D7" s="5" t="s">
        <v>19</v>
      </c>
      <c r="E7" s="5" t="s">
        <v>14</v>
      </c>
      <c r="F7" s="5" t="s">
        <v>31</v>
      </c>
      <c r="G7" s="5" t="s">
        <v>15</v>
      </c>
      <c r="H7" s="5" t="s">
        <v>459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5.75" hidden="false" customHeight="true" outlineLevel="0" collapsed="false">
      <c r="A8" s="5" t="s">
        <v>49</v>
      </c>
      <c r="B8" s="5" t="s">
        <v>50</v>
      </c>
      <c r="C8" s="5" t="s">
        <v>31</v>
      </c>
      <c r="D8" s="5" t="s">
        <v>19</v>
      </c>
      <c r="E8" s="5" t="s">
        <v>14</v>
      </c>
      <c r="F8" s="5" t="s">
        <v>31</v>
      </c>
      <c r="G8" s="5" t="s">
        <v>460</v>
      </c>
      <c r="H8" s="5" t="s">
        <v>461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5.75" hidden="false" customHeight="true" outlineLevel="0" collapsed="false">
      <c r="A9" s="9"/>
      <c r="B9" s="9"/>
      <c r="C9" s="9"/>
      <c r="D9" s="9"/>
      <c r="E9" s="9"/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.75" hidden="false" customHeight="true" outlineLevel="0" collapsed="false">
      <c r="A10" s="9"/>
      <c r="B10" s="9"/>
      <c r="C10" s="9"/>
      <c r="D10" s="9"/>
      <c r="E10" s="9"/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.75" hidden="false" customHeight="true" outlineLevel="0" collapsed="false">
      <c r="A11" s="9"/>
      <c r="B11" s="9"/>
      <c r="C11" s="9"/>
      <c r="D11" s="9"/>
      <c r="E11" s="9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.75" hidden="false" customHeight="true" outlineLevel="0" collapsed="false">
      <c r="A12" s="9"/>
      <c r="B12" s="9"/>
      <c r="C12" s="9"/>
      <c r="D12" s="9"/>
      <c r="E12" s="9"/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.75" hidden="false" customHeight="true" outlineLevel="0" collapsed="false">
      <c r="A13" s="9"/>
      <c r="B13" s="9"/>
      <c r="C13" s="9"/>
      <c r="D13" s="9"/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.75" hidden="false" customHeight="true" outlineLevel="0" collapsed="false">
      <c r="A14" s="9"/>
      <c r="B14" s="9"/>
      <c r="C14" s="9"/>
      <c r="D14" s="9"/>
      <c r="E14" s="9"/>
      <c r="F14" s="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true" outlineLevel="0" collapsed="false">
      <c r="A15" s="9"/>
      <c r="B15" s="9"/>
      <c r="C15" s="9"/>
      <c r="D15" s="9"/>
      <c r="E15" s="9"/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true" outlineLevel="0" collapsed="false">
      <c r="A16" s="9"/>
      <c r="B16" s="9"/>
      <c r="C16" s="9"/>
      <c r="D16" s="9"/>
      <c r="E16" s="9"/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.75" hidden="false" customHeight="true" outlineLevel="0" collapsed="false">
      <c r="A17" s="9"/>
      <c r="B17" s="9"/>
      <c r="C17" s="9"/>
      <c r="D17" s="9"/>
      <c r="E17" s="9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true" outlineLevel="0" collapsed="false">
      <c r="A18" s="9"/>
      <c r="B18" s="9"/>
      <c r="C18" s="9"/>
      <c r="D18" s="9"/>
      <c r="E18" s="9"/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.75" hidden="false" customHeight="true" outlineLevel="0" collapsed="false">
      <c r="A19" s="9"/>
      <c r="B19" s="9"/>
      <c r="C19" s="9"/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true" outlineLevel="0" collapsed="false">
      <c r="A20" s="9"/>
      <c r="B20" s="9"/>
      <c r="C20" s="9"/>
      <c r="D20" s="9"/>
      <c r="E20" s="9"/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true" outlineLevel="0" collapsed="false">
      <c r="A21" s="9"/>
      <c r="B21" s="9"/>
      <c r="C21" s="9"/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true" outlineLevel="0" collapsed="false">
      <c r="A22" s="9"/>
      <c r="B22" s="9"/>
      <c r="C22" s="9"/>
      <c r="D22" s="9"/>
      <c r="E22" s="9"/>
      <c r="F22" s="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true" outlineLevel="0" collapsed="false">
      <c r="A23" s="9"/>
      <c r="B23" s="9"/>
      <c r="C23" s="9"/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true" outlineLevel="0" collapsed="false">
      <c r="A24" s="9"/>
      <c r="B24" s="9"/>
      <c r="C24" s="9"/>
      <c r="D24" s="9"/>
      <c r="E24" s="9"/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true" outlineLevel="0" collapsed="false">
      <c r="A25" s="9"/>
      <c r="B25" s="9"/>
      <c r="C25" s="9"/>
      <c r="D25" s="9"/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true" outlineLevel="0" collapsed="false">
      <c r="A26" s="9"/>
      <c r="B26" s="9"/>
      <c r="C26" s="9"/>
      <c r="D26" s="9"/>
      <c r="E26" s="9"/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true" outlineLevel="0" collapsed="false">
      <c r="A27" s="9"/>
      <c r="B27" s="9"/>
      <c r="C27" s="9"/>
      <c r="D27" s="9"/>
      <c r="E27" s="9"/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true" outlineLevel="0" collapsed="false">
      <c r="A28" s="9"/>
      <c r="B28" s="9"/>
      <c r="C28" s="9"/>
      <c r="D28" s="9"/>
      <c r="E28" s="9"/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true" outlineLevel="0" collapsed="false">
      <c r="A29" s="9"/>
      <c r="B29" s="9"/>
      <c r="C29" s="9"/>
      <c r="D29" s="9"/>
      <c r="E29" s="9"/>
      <c r="F29" s="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true" outlineLevel="0" collapsed="false">
      <c r="A30" s="9"/>
      <c r="B30" s="9"/>
      <c r="C30" s="9"/>
      <c r="D30" s="9"/>
      <c r="E30" s="9"/>
      <c r="F30" s="9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true" outlineLevel="0" collapsed="false">
      <c r="A41" s="9"/>
      <c r="B41" s="9"/>
      <c r="C41" s="9"/>
      <c r="D41" s="9"/>
      <c r="E41" s="9"/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true" outlineLevel="0" collapsed="false">
      <c r="A42" s="9"/>
      <c r="B42" s="9"/>
      <c r="C42" s="9"/>
      <c r="D42" s="9"/>
      <c r="E42" s="9"/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true" outlineLevel="0" collapsed="false">
      <c r="A43" s="9"/>
      <c r="B43" s="9"/>
      <c r="C43" s="9"/>
      <c r="D43" s="9"/>
      <c r="E43" s="9"/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true" outlineLevel="0" collapsed="false">
      <c r="A44" s="9"/>
      <c r="B44" s="9"/>
      <c r="C44" s="9"/>
      <c r="D44" s="9"/>
      <c r="E44" s="9"/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true" outlineLevel="0" collapsed="false">
      <c r="A45" s="9"/>
      <c r="B45" s="9"/>
      <c r="C45" s="9"/>
      <c r="D45" s="9"/>
      <c r="E45" s="9"/>
      <c r="F45" s="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true" outlineLevel="0" collapsed="false">
      <c r="A46" s="9"/>
      <c r="B46" s="9"/>
      <c r="C46" s="9"/>
      <c r="D46" s="9"/>
      <c r="E46" s="9"/>
      <c r="F46" s="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true" outlineLevel="0" collapsed="false">
      <c r="A47" s="9"/>
      <c r="B47" s="9"/>
      <c r="C47" s="9"/>
      <c r="D47" s="9"/>
      <c r="E47" s="9"/>
      <c r="F47" s="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true" outlineLevel="0" collapsed="false">
      <c r="A48" s="9"/>
      <c r="B48" s="9"/>
      <c r="C48" s="9"/>
      <c r="D48" s="9"/>
      <c r="E48" s="9"/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true" outlineLevel="0" collapsed="false">
      <c r="A49" s="9"/>
      <c r="B49" s="9"/>
      <c r="C49" s="9"/>
      <c r="D49" s="9"/>
      <c r="E49" s="9"/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true" outlineLevel="0" collapsed="false">
      <c r="A50" s="9"/>
      <c r="B50" s="9"/>
      <c r="C50" s="9"/>
      <c r="D50" s="9"/>
      <c r="E50" s="9"/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true" outlineLevel="0" collapsed="false">
      <c r="A51" s="9"/>
      <c r="B51" s="9"/>
      <c r="C51" s="9"/>
      <c r="D51" s="9"/>
      <c r="E51" s="9"/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true" outlineLevel="0" collapsed="false">
      <c r="A52" s="9"/>
      <c r="B52" s="9"/>
      <c r="C52" s="9"/>
      <c r="D52" s="9"/>
      <c r="E52" s="9"/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true" outlineLevel="0" collapsed="false">
      <c r="A53" s="9"/>
      <c r="B53" s="9"/>
      <c r="C53" s="9"/>
      <c r="D53" s="9"/>
      <c r="E53" s="9"/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true" outlineLevel="0" collapsed="false">
      <c r="A54" s="9"/>
      <c r="B54" s="9"/>
      <c r="C54" s="9"/>
      <c r="D54" s="9"/>
      <c r="E54" s="9"/>
      <c r="F54" s="9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true" outlineLevel="0" collapsed="false">
      <c r="A55" s="9"/>
      <c r="B55" s="9"/>
      <c r="C55" s="9"/>
      <c r="D55" s="9"/>
      <c r="E55" s="9"/>
      <c r="F55" s="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true" outlineLevel="0" collapsed="false">
      <c r="A56" s="9"/>
      <c r="B56" s="9"/>
      <c r="C56" s="9"/>
      <c r="D56" s="9"/>
      <c r="E56" s="9"/>
      <c r="F56" s="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true" outlineLevel="0" collapsed="false">
      <c r="A57" s="9"/>
      <c r="B57" s="9"/>
      <c r="C57" s="9"/>
      <c r="D57" s="9"/>
      <c r="E57" s="9"/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true" outlineLevel="0" collapsed="false">
      <c r="A58" s="9"/>
      <c r="B58" s="9"/>
      <c r="C58" s="9"/>
      <c r="D58" s="9"/>
      <c r="E58" s="9"/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true" outlineLevel="0" collapsed="false">
      <c r="A59" s="9"/>
      <c r="B59" s="9"/>
      <c r="C59" s="9"/>
      <c r="D59" s="9"/>
      <c r="E59" s="9"/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true" outlineLevel="0" collapsed="false">
      <c r="A60" s="9"/>
      <c r="B60" s="9"/>
      <c r="C60" s="9"/>
      <c r="D60" s="9"/>
      <c r="E60" s="9"/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true" outlineLevel="0" collapsed="false">
      <c r="A61" s="9"/>
      <c r="B61" s="9"/>
      <c r="C61" s="9"/>
      <c r="D61" s="9"/>
      <c r="E61" s="9"/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true" outlineLevel="0" collapsed="false">
      <c r="A62" s="9"/>
      <c r="B62" s="9"/>
      <c r="C62" s="9"/>
      <c r="D62" s="9"/>
      <c r="E62" s="9"/>
      <c r="F62" s="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true" outlineLevel="0" collapsed="false">
      <c r="A63" s="9"/>
      <c r="B63" s="9"/>
      <c r="C63" s="9"/>
      <c r="D63" s="9"/>
      <c r="E63" s="9"/>
      <c r="F63" s="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true" outlineLevel="0" collapsed="false">
      <c r="A64" s="9"/>
      <c r="B64" s="9"/>
      <c r="C64" s="9"/>
      <c r="D64" s="9"/>
      <c r="E64" s="9"/>
      <c r="F64" s="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true" outlineLevel="0" collapsed="false">
      <c r="A65" s="9"/>
      <c r="B65" s="9"/>
      <c r="C65" s="9"/>
      <c r="D65" s="9"/>
      <c r="E65" s="9"/>
      <c r="F65" s="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true" outlineLevel="0" collapsed="false">
      <c r="A66" s="9"/>
      <c r="B66" s="9"/>
      <c r="C66" s="9"/>
      <c r="D66" s="9"/>
      <c r="E66" s="9"/>
      <c r="F66" s="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true" outlineLevel="0" collapsed="false">
      <c r="A67" s="9"/>
      <c r="B67" s="9"/>
      <c r="C67" s="9"/>
      <c r="D67" s="9"/>
      <c r="E67" s="9"/>
      <c r="F67" s="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true" outlineLevel="0" collapsed="false">
      <c r="A68" s="9"/>
      <c r="B68" s="9"/>
      <c r="C68" s="9"/>
      <c r="D68" s="9"/>
      <c r="E68" s="9"/>
      <c r="F68" s="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true" outlineLevel="0" collapsed="false">
      <c r="A69" s="9"/>
      <c r="B69" s="9"/>
      <c r="C69" s="9"/>
      <c r="D69" s="9"/>
      <c r="E69" s="9"/>
      <c r="F69" s="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true" outlineLevel="0" collapsed="false">
      <c r="A70" s="9"/>
      <c r="B70" s="9"/>
      <c r="C70" s="9"/>
      <c r="D70" s="9"/>
      <c r="E70" s="9"/>
      <c r="F70" s="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true" outlineLevel="0" collapsed="false">
      <c r="A71" s="9"/>
      <c r="B71" s="9"/>
      <c r="C71" s="9"/>
      <c r="D71" s="9"/>
      <c r="E71" s="9"/>
      <c r="F71" s="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true" outlineLevel="0" collapsed="false">
      <c r="A72" s="9"/>
      <c r="B72" s="9"/>
      <c r="C72" s="9"/>
      <c r="D72" s="9"/>
      <c r="E72" s="9"/>
      <c r="F72" s="9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true" outlineLevel="0" collapsed="false">
      <c r="A73" s="9"/>
      <c r="B73" s="9"/>
      <c r="C73" s="9"/>
      <c r="D73" s="9"/>
      <c r="E73" s="9"/>
      <c r="F73" s="9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true" outlineLevel="0" collapsed="false">
      <c r="A74" s="9"/>
      <c r="B74" s="9"/>
      <c r="C74" s="9"/>
      <c r="D74" s="9"/>
      <c r="E74" s="9"/>
      <c r="F74" s="9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true" outlineLevel="0" collapsed="false">
      <c r="A75" s="9"/>
      <c r="B75" s="9"/>
      <c r="C75" s="9"/>
      <c r="D75" s="9"/>
      <c r="E75" s="9"/>
      <c r="F75" s="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true" outlineLevel="0" collapsed="false">
      <c r="A76" s="9"/>
      <c r="B76" s="9"/>
      <c r="C76" s="9"/>
      <c r="D76" s="9"/>
      <c r="E76" s="9"/>
      <c r="F76" s="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true" outlineLevel="0" collapsed="false">
      <c r="A77" s="9"/>
      <c r="B77" s="9"/>
      <c r="C77" s="9"/>
      <c r="D77" s="9"/>
      <c r="E77" s="9"/>
      <c r="F77" s="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true" outlineLevel="0" collapsed="false">
      <c r="A78" s="9"/>
      <c r="B78" s="9"/>
      <c r="C78" s="9"/>
      <c r="D78" s="9"/>
      <c r="E78" s="9"/>
      <c r="F78" s="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true" outlineLevel="0" collapsed="false">
      <c r="A79" s="9"/>
      <c r="B79" s="9"/>
      <c r="C79" s="9"/>
      <c r="D79" s="9"/>
      <c r="E79" s="9"/>
      <c r="F79" s="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true" outlineLevel="0" collapsed="false">
      <c r="A80" s="9"/>
      <c r="B80" s="9"/>
      <c r="C80" s="9"/>
      <c r="D80" s="9"/>
      <c r="E80" s="9"/>
      <c r="F80" s="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true" outlineLevel="0" collapsed="false">
      <c r="A81" s="9"/>
      <c r="B81" s="9"/>
      <c r="C81" s="9"/>
      <c r="D81" s="9"/>
      <c r="E81" s="9"/>
      <c r="F81" s="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true" outlineLevel="0" collapsed="false">
      <c r="A82" s="9"/>
      <c r="B82" s="9"/>
      <c r="C82" s="9"/>
      <c r="D82" s="9"/>
      <c r="E82" s="9"/>
      <c r="F82" s="9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true" outlineLevel="0" collapsed="false">
      <c r="A83" s="9"/>
      <c r="B83" s="9"/>
      <c r="C83" s="9"/>
      <c r="D83" s="9"/>
      <c r="E83" s="9"/>
      <c r="F83" s="9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true" outlineLevel="0" collapsed="false">
      <c r="A84" s="9"/>
      <c r="B84" s="9"/>
      <c r="C84" s="9"/>
      <c r="D84" s="9"/>
      <c r="E84" s="9"/>
      <c r="F84" s="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true" outlineLevel="0" collapsed="false">
      <c r="A85" s="9"/>
      <c r="B85" s="9"/>
      <c r="C85" s="9"/>
      <c r="D85" s="9"/>
      <c r="E85" s="9"/>
      <c r="F85" s="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true" outlineLevel="0" collapsed="false">
      <c r="A86" s="9"/>
      <c r="B86" s="9"/>
      <c r="C86" s="9"/>
      <c r="D86" s="9"/>
      <c r="E86" s="9"/>
      <c r="F86" s="9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true" outlineLevel="0" collapsed="false">
      <c r="A87" s="9"/>
      <c r="B87" s="9"/>
      <c r="C87" s="9"/>
      <c r="D87" s="9"/>
      <c r="E87" s="9"/>
      <c r="F87" s="9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true" outlineLevel="0" collapsed="false">
      <c r="A88" s="9"/>
      <c r="B88" s="9"/>
      <c r="C88" s="9"/>
      <c r="D88" s="9"/>
      <c r="E88" s="9"/>
      <c r="F88" s="9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true" outlineLevel="0" collapsed="false">
      <c r="A89" s="9"/>
      <c r="B89" s="9"/>
      <c r="C89" s="9"/>
      <c r="D89" s="9"/>
      <c r="E89" s="9"/>
      <c r="F89" s="9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true" outlineLevel="0" collapsed="false">
      <c r="A90" s="9"/>
      <c r="B90" s="9"/>
      <c r="C90" s="9"/>
      <c r="D90" s="9"/>
      <c r="E90" s="9"/>
      <c r="F90" s="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true" outlineLevel="0" collapsed="false">
      <c r="A91" s="9"/>
      <c r="B91" s="9"/>
      <c r="C91" s="9"/>
      <c r="D91" s="9"/>
      <c r="E91" s="9"/>
      <c r="F91" s="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true" outlineLevel="0" collapsed="false">
      <c r="A92" s="9"/>
      <c r="B92" s="9"/>
      <c r="C92" s="9"/>
      <c r="D92" s="9"/>
      <c r="E92" s="9"/>
      <c r="F92" s="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true" outlineLevel="0" collapsed="false">
      <c r="A93" s="9"/>
      <c r="B93" s="9"/>
      <c r="C93" s="9"/>
      <c r="D93" s="9"/>
      <c r="E93" s="9"/>
      <c r="F93" s="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true" outlineLevel="0" collapsed="false">
      <c r="A94" s="9"/>
      <c r="B94" s="9"/>
      <c r="C94" s="9"/>
      <c r="D94" s="9"/>
      <c r="E94" s="9"/>
      <c r="F94" s="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true" outlineLevel="0" collapsed="false">
      <c r="A95" s="9"/>
      <c r="B95" s="9"/>
      <c r="C95" s="9"/>
      <c r="D95" s="9"/>
      <c r="E95" s="9"/>
      <c r="F95" s="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true" outlineLevel="0" collapsed="false">
      <c r="A96" s="9"/>
      <c r="B96" s="9"/>
      <c r="C96" s="9"/>
      <c r="D96" s="9"/>
      <c r="E96" s="9"/>
      <c r="F96" s="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true" outlineLevel="0" collapsed="false">
      <c r="A97" s="9"/>
      <c r="B97" s="9"/>
      <c r="C97" s="9"/>
      <c r="D97" s="9"/>
      <c r="E97" s="9"/>
      <c r="F97" s="9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true" outlineLevel="0" collapsed="false">
      <c r="A98" s="9"/>
      <c r="B98" s="9"/>
      <c r="C98" s="9"/>
      <c r="D98" s="9"/>
      <c r="E98" s="9"/>
      <c r="F98" s="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true" outlineLevel="0" collapsed="false">
      <c r="A99" s="9"/>
      <c r="B99" s="9"/>
      <c r="C99" s="9"/>
      <c r="D99" s="9"/>
      <c r="E99" s="9"/>
      <c r="F99" s="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true" outlineLevel="0" collapsed="false">
      <c r="A100" s="9"/>
      <c r="B100" s="9"/>
      <c r="C100" s="9"/>
      <c r="D100" s="9"/>
      <c r="E100" s="9"/>
      <c r="F100" s="9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true" outlineLevel="0" collapsed="false">
      <c r="A101" s="9"/>
      <c r="B101" s="9"/>
      <c r="C101" s="9"/>
      <c r="D101" s="9"/>
      <c r="E101" s="9"/>
      <c r="F101" s="9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true" outlineLevel="0" collapsed="false">
      <c r="A102" s="9"/>
      <c r="B102" s="9"/>
      <c r="C102" s="9"/>
      <c r="D102" s="9"/>
      <c r="E102" s="9"/>
      <c r="F102" s="9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true" outlineLevel="0" collapsed="false">
      <c r="A103" s="9"/>
      <c r="B103" s="9"/>
      <c r="C103" s="9"/>
      <c r="D103" s="9"/>
      <c r="E103" s="9"/>
      <c r="F103" s="9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true" outlineLevel="0" collapsed="false">
      <c r="A104" s="9"/>
      <c r="B104" s="9"/>
      <c r="C104" s="9"/>
      <c r="D104" s="9"/>
      <c r="E104" s="9"/>
      <c r="F104" s="9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true" outlineLevel="0" collapsed="false">
      <c r="A105" s="9"/>
      <c r="B105" s="9"/>
      <c r="C105" s="9"/>
      <c r="D105" s="9"/>
      <c r="E105" s="9"/>
      <c r="F105" s="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true" outlineLevel="0" collapsed="false">
      <c r="A106" s="9"/>
      <c r="B106" s="9"/>
      <c r="C106" s="9"/>
      <c r="D106" s="9"/>
      <c r="E106" s="9"/>
      <c r="F106" s="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true" outlineLevel="0" collapsed="false">
      <c r="A107" s="9"/>
      <c r="B107" s="9"/>
      <c r="C107" s="9"/>
      <c r="D107" s="9"/>
      <c r="E107" s="9"/>
      <c r="F107" s="9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true" outlineLevel="0" collapsed="false">
      <c r="A108" s="9"/>
      <c r="B108" s="9"/>
      <c r="C108" s="9"/>
      <c r="D108" s="9"/>
      <c r="E108" s="9"/>
      <c r="F108" s="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true" outlineLevel="0" collapsed="false">
      <c r="A109" s="9"/>
      <c r="B109" s="9"/>
      <c r="C109" s="9"/>
      <c r="D109" s="9"/>
      <c r="E109" s="9"/>
      <c r="F109" s="9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true" outlineLevel="0" collapsed="false">
      <c r="A110" s="9"/>
      <c r="B110" s="9"/>
      <c r="C110" s="9"/>
      <c r="D110" s="9"/>
      <c r="E110" s="9"/>
      <c r="F110" s="9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true" outlineLevel="0" collapsed="false">
      <c r="A111" s="9"/>
      <c r="B111" s="9"/>
      <c r="C111" s="9"/>
      <c r="D111" s="9"/>
      <c r="E111" s="9"/>
      <c r="F111" s="9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true" outlineLevel="0" collapsed="false">
      <c r="A112" s="9"/>
      <c r="B112" s="9"/>
      <c r="C112" s="9"/>
      <c r="D112" s="9"/>
      <c r="E112" s="9"/>
      <c r="F112" s="9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true" outlineLevel="0" collapsed="false">
      <c r="A113" s="9"/>
      <c r="B113" s="9"/>
      <c r="C113" s="9"/>
      <c r="D113" s="9"/>
      <c r="E113" s="9"/>
      <c r="F113" s="9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true" outlineLevel="0" collapsed="false">
      <c r="A114" s="9"/>
      <c r="B114" s="9"/>
      <c r="C114" s="9"/>
      <c r="D114" s="9"/>
      <c r="E114" s="9"/>
      <c r="F114" s="9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true" outlineLevel="0" collapsed="false">
      <c r="A115" s="9"/>
      <c r="B115" s="9"/>
      <c r="C115" s="9"/>
      <c r="D115" s="9"/>
      <c r="E115" s="9"/>
      <c r="F115" s="9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true" outlineLevel="0" collapsed="false">
      <c r="A116" s="9"/>
      <c r="B116" s="9"/>
      <c r="C116" s="9"/>
      <c r="D116" s="9"/>
      <c r="E116" s="9"/>
      <c r="F116" s="9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true" outlineLevel="0" collapsed="false">
      <c r="A117" s="9"/>
      <c r="B117" s="9"/>
      <c r="C117" s="9"/>
      <c r="D117" s="9"/>
      <c r="E117" s="9"/>
      <c r="F117" s="9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true" outlineLevel="0" collapsed="false">
      <c r="A118" s="9"/>
      <c r="B118" s="9"/>
      <c r="C118" s="9"/>
      <c r="D118" s="9"/>
      <c r="E118" s="9"/>
      <c r="F118" s="9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true" outlineLevel="0" collapsed="false">
      <c r="A119" s="9"/>
      <c r="B119" s="9"/>
      <c r="C119" s="9"/>
      <c r="D119" s="9"/>
      <c r="E119" s="9"/>
      <c r="F119" s="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true" outlineLevel="0" collapsed="false">
      <c r="A120" s="9"/>
      <c r="B120" s="9"/>
      <c r="C120" s="9"/>
      <c r="D120" s="9"/>
      <c r="E120" s="9"/>
      <c r="F120" s="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true" outlineLevel="0" collapsed="false">
      <c r="A121" s="9"/>
      <c r="B121" s="9"/>
      <c r="C121" s="9"/>
      <c r="D121" s="9"/>
      <c r="E121" s="9"/>
      <c r="F121" s="9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true" outlineLevel="0" collapsed="false">
      <c r="A122" s="9"/>
      <c r="B122" s="9"/>
      <c r="C122" s="9"/>
      <c r="D122" s="9"/>
      <c r="E122" s="9"/>
      <c r="F122" s="9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true" outlineLevel="0" collapsed="false">
      <c r="A123" s="9"/>
      <c r="B123" s="9"/>
      <c r="C123" s="9"/>
      <c r="D123" s="9"/>
      <c r="E123" s="9"/>
      <c r="F123" s="9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true" outlineLevel="0" collapsed="false">
      <c r="A124" s="9"/>
      <c r="B124" s="9"/>
      <c r="C124" s="9"/>
      <c r="D124" s="9"/>
      <c r="E124" s="9"/>
      <c r="F124" s="9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true" outlineLevel="0" collapsed="false">
      <c r="A125" s="9"/>
      <c r="B125" s="9"/>
      <c r="C125" s="9"/>
      <c r="D125" s="9"/>
      <c r="E125" s="9"/>
      <c r="F125" s="9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true" outlineLevel="0" collapsed="false">
      <c r="A126" s="9"/>
      <c r="B126" s="9"/>
      <c r="C126" s="9"/>
      <c r="D126" s="9"/>
      <c r="E126" s="9"/>
      <c r="F126" s="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true" outlineLevel="0" collapsed="false">
      <c r="A127" s="9"/>
      <c r="B127" s="9"/>
      <c r="C127" s="9"/>
      <c r="D127" s="9"/>
      <c r="E127" s="9"/>
      <c r="F127" s="9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true" outlineLevel="0" collapsed="false">
      <c r="A128" s="9"/>
      <c r="B128" s="9"/>
      <c r="C128" s="9"/>
      <c r="D128" s="9"/>
      <c r="E128" s="9"/>
      <c r="F128" s="9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true" outlineLevel="0" collapsed="false">
      <c r="A129" s="9"/>
      <c r="B129" s="9"/>
      <c r="C129" s="9"/>
      <c r="D129" s="9"/>
      <c r="E129" s="9"/>
      <c r="F129" s="9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true" outlineLevel="0" collapsed="false">
      <c r="A130" s="9"/>
      <c r="B130" s="9"/>
      <c r="C130" s="9"/>
      <c r="D130" s="9"/>
      <c r="E130" s="9"/>
      <c r="F130" s="9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true" outlineLevel="0" collapsed="false">
      <c r="A131" s="9"/>
      <c r="B131" s="9"/>
      <c r="C131" s="9"/>
      <c r="D131" s="9"/>
      <c r="E131" s="9"/>
      <c r="F131" s="9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true" outlineLevel="0" collapsed="false">
      <c r="A132" s="9"/>
      <c r="B132" s="9"/>
      <c r="C132" s="9"/>
      <c r="D132" s="9"/>
      <c r="E132" s="9"/>
      <c r="F132" s="9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true" outlineLevel="0" collapsed="false">
      <c r="A133" s="9"/>
      <c r="B133" s="9"/>
      <c r="C133" s="9"/>
      <c r="D133" s="9"/>
      <c r="E133" s="9"/>
      <c r="F133" s="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true" outlineLevel="0" collapsed="false">
      <c r="A134" s="9"/>
      <c r="B134" s="9"/>
      <c r="C134" s="9"/>
      <c r="D134" s="9"/>
      <c r="E134" s="9"/>
      <c r="F134" s="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true" outlineLevel="0" collapsed="false">
      <c r="A135" s="9"/>
      <c r="B135" s="9"/>
      <c r="C135" s="9"/>
      <c r="D135" s="9"/>
      <c r="E135" s="9"/>
      <c r="F135" s="9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true" outlineLevel="0" collapsed="false">
      <c r="A136" s="9"/>
      <c r="B136" s="9"/>
      <c r="C136" s="9"/>
      <c r="D136" s="9"/>
      <c r="E136" s="9"/>
      <c r="F136" s="9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true" outlineLevel="0" collapsed="false">
      <c r="A137" s="9"/>
      <c r="B137" s="9"/>
      <c r="C137" s="9"/>
      <c r="D137" s="9"/>
      <c r="E137" s="9"/>
      <c r="F137" s="9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true" outlineLevel="0" collapsed="false">
      <c r="A138" s="9"/>
      <c r="B138" s="9"/>
      <c r="C138" s="9"/>
      <c r="D138" s="9"/>
      <c r="E138" s="9"/>
      <c r="F138" s="9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true" outlineLevel="0" collapsed="false">
      <c r="A139" s="9"/>
      <c r="B139" s="9"/>
      <c r="C139" s="9"/>
      <c r="D139" s="9"/>
      <c r="E139" s="9"/>
      <c r="F139" s="9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true" outlineLevel="0" collapsed="false">
      <c r="A140" s="9"/>
      <c r="B140" s="9"/>
      <c r="C140" s="9"/>
      <c r="D140" s="9"/>
      <c r="E140" s="9"/>
      <c r="F140" s="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true" outlineLevel="0" collapsed="false">
      <c r="A141" s="9"/>
      <c r="B141" s="9"/>
      <c r="C141" s="9"/>
      <c r="D141" s="9"/>
      <c r="E141" s="9"/>
      <c r="F141" s="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true" outlineLevel="0" collapsed="false">
      <c r="A142" s="9"/>
      <c r="B142" s="9"/>
      <c r="C142" s="9"/>
      <c r="D142" s="9"/>
      <c r="E142" s="9"/>
      <c r="F142" s="9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true" outlineLevel="0" collapsed="false">
      <c r="A143" s="9"/>
      <c r="B143" s="9"/>
      <c r="C143" s="9"/>
      <c r="D143" s="9"/>
      <c r="E143" s="9"/>
      <c r="F143" s="9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true" outlineLevel="0" collapsed="false">
      <c r="A144" s="9"/>
      <c r="B144" s="9"/>
      <c r="C144" s="9"/>
      <c r="D144" s="9"/>
      <c r="E144" s="9"/>
      <c r="F144" s="9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true" outlineLevel="0" collapsed="false">
      <c r="A145" s="9"/>
      <c r="B145" s="9"/>
      <c r="C145" s="9"/>
      <c r="D145" s="9"/>
      <c r="E145" s="9"/>
      <c r="F145" s="9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true" outlineLevel="0" collapsed="false">
      <c r="A146" s="9"/>
      <c r="B146" s="9"/>
      <c r="C146" s="9"/>
      <c r="D146" s="9"/>
      <c r="E146" s="9"/>
      <c r="F146" s="9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true" outlineLevel="0" collapsed="false">
      <c r="A147" s="9"/>
      <c r="B147" s="9"/>
      <c r="C147" s="9"/>
      <c r="D147" s="9"/>
      <c r="E147" s="9"/>
      <c r="F147" s="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true" outlineLevel="0" collapsed="false">
      <c r="A148" s="9"/>
      <c r="B148" s="9"/>
      <c r="C148" s="9"/>
      <c r="D148" s="9"/>
      <c r="E148" s="9"/>
      <c r="F148" s="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true" outlineLevel="0" collapsed="false">
      <c r="A149" s="9"/>
      <c r="B149" s="9"/>
      <c r="C149" s="9"/>
      <c r="D149" s="9"/>
      <c r="E149" s="9"/>
      <c r="F149" s="9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true" outlineLevel="0" collapsed="false">
      <c r="A150" s="9"/>
      <c r="B150" s="9"/>
      <c r="C150" s="9"/>
      <c r="D150" s="9"/>
      <c r="E150" s="9"/>
      <c r="F150" s="9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true" outlineLevel="0" collapsed="false">
      <c r="A151" s="9"/>
      <c r="B151" s="9"/>
      <c r="C151" s="9"/>
      <c r="D151" s="9"/>
      <c r="E151" s="9"/>
      <c r="F151" s="9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true" outlineLevel="0" collapsed="false">
      <c r="A152" s="9"/>
      <c r="B152" s="9"/>
      <c r="C152" s="9"/>
      <c r="D152" s="9"/>
      <c r="E152" s="9"/>
      <c r="F152" s="9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true" outlineLevel="0" collapsed="false">
      <c r="A153" s="9"/>
      <c r="B153" s="9"/>
      <c r="C153" s="9"/>
      <c r="D153" s="9"/>
      <c r="E153" s="9"/>
      <c r="F153" s="9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true" outlineLevel="0" collapsed="false">
      <c r="A154" s="9"/>
      <c r="B154" s="9"/>
      <c r="C154" s="9"/>
      <c r="D154" s="9"/>
      <c r="E154" s="9"/>
      <c r="F154" s="9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true" outlineLevel="0" collapsed="false">
      <c r="A155" s="9"/>
      <c r="B155" s="9"/>
      <c r="C155" s="9"/>
      <c r="D155" s="9"/>
      <c r="E155" s="9"/>
      <c r="F155" s="9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true" outlineLevel="0" collapsed="false">
      <c r="A156" s="9"/>
      <c r="B156" s="9"/>
      <c r="C156" s="9"/>
      <c r="D156" s="9"/>
      <c r="E156" s="9"/>
      <c r="F156" s="9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true" outlineLevel="0" collapsed="false">
      <c r="A157" s="9"/>
      <c r="B157" s="9"/>
      <c r="C157" s="9"/>
      <c r="D157" s="9"/>
      <c r="E157" s="9"/>
      <c r="F157" s="9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true" outlineLevel="0" collapsed="false">
      <c r="A158" s="9"/>
      <c r="B158" s="9"/>
      <c r="C158" s="9"/>
      <c r="D158" s="9"/>
      <c r="E158" s="9"/>
      <c r="F158" s="9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true" outlineLevel="0" collapsed="false">
      <c r="A159" s="9"/>
      <c r="B159" s="9"/>
      <c r="C159" s="9"/>
      <c r="D159" s="9"/>
      <c r="E159" s="9"/>
      <c r="F159" s="9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true" outlineLevel="0" collapsed="false">
      <c r="A160" s="9"/>
      <c r="B160" s="9"/>
      <c r="C160" s="9"/>
      <c r="D160" s="9"/>
      <c r="E160" s="9"/>
      <c r="F160" s="9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true" outlineLevel="0" collapsed="false">
      <c r="A161" s="9"/>
      <c r="B161" s="9"/>
      <c r="C161" s="9"/>
      <c r="D161" s="9"/>
      <c r="E161" s="9"/>
      <c r="F161" s="9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true" outlineLevel="0" collapsed="false">
      <c r="A162" s="9"/>
      <c r="B162" s="9"/>
      <c r="C162" s="9"/>
      <c r="D162" s="9"/>
      <c r="E162" s="9"/>
      <c r="F162" s="9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true" outlineLevel="0" collapsed="false">
      <c r="A163" s="9"/>
      <c r="B163" s="9"/>
      <c r="C163" s="9"/>
      <c r="D163" s="9"/>
      <c r="E163" s="9"/>
      <c r="F163" s="9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true" outlineLevel="0" collapsed="false">
      <c r="A164" s="9"/>
      <c r="B164" s="9"/>
      <c r="C164" s="9"/>
      <c r="D164" s="9"/>
      <c r="E164" s="9"/>
      <c r="F164" s="9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true" outlineLevel="0" collapsed="false">
      <c r="A165" s="9"/>
      <c r="B165" s="9"/>
      <c r="C165" s="9"/>
      <c r="D165" s="9"/>
      <c r="E165" s="9"/>
      <c r="F165" s="9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true" outlineLevel="0" collapsed="false">
      <c r="A166" s="9"/>
      <c r="B166" s="9"/>
      <c r="C166" s="9"/>
      <c r="D166" s="9"/>
      <c r="E166" s="9"/>
      <c r="F166" s="9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true" outlineLevel="0" collapsed="false">
      <c r="A167" s="9"/>
      <c r="B167" s="9"/>
      <c r="C167" s="9"/>
      <c r="D167" s="9"/>
      <c r="E167" s="9"/>
      <c r="F167" s="9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true" outlineLevel="0" collapsed="false">
      <c r="A168" s="9"/>
      <c r="B168" s="9"/>
      <c r="C168" s="9"/>
      <c r="D168" s="9"/>
      <c r="E168" s="9"/>
      <c r="F168" s="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true" outlineLevel="0" collapsed="false">
      <c r="A169" s="9"/>
      <c r="B169" s="9"/>
      <c r="C169" s="9"/>
      <c r="D169" s="9"/>
      <c r="E169" s="9"/>
      <c r="F169" s="9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true" outlineLevel="0" collapsed="false">
      <c r="A170" s="9"/>
      <c r="B170" s="9"/>
      <c r="C170" s="9"/>
      <c r="D170" s="9"/>
      <c r="E170" s="9"/>
      <c r="F170" s="9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true" outlineLevel="0" collapsed="false">
      <c r="A171" s="9"/>
      <c r="B171" s="9"/>
      <c r="C171" s="9"/>
      <c r="D171" s="9"/>
      <c r="E171" s="9"/>
      <c r="F171" s="9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true" outlineLevel="0" collapsed="false">
      <c r="A172" s="9"/>
      <c r="B172" s="9"/>
      <c r="C172" s="9"/>
      <c r="D172" s="9"/>
      <c r="E172" s="9"/>
      <c r="F172" s="9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true" outlineLevel="0" collapsed="false">
      <c r="A173" s="9"/>
      <c r="B173" s="9"/>
      <c r="C173" s="9"/>
      <c r="D173" s="9"/>
      <c r="E173" s="9"/>
      <c r="F173" s="9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true" outlineLevel="0" collapsed="false">
      <c r="A174" s="9"/>
      <c r="B174" s="9"/>
      <c r="C174" s="9"/>
      <c r="D174" s="9"/>
      <c r="E174" s="9"/>
      <c r="F174" s="9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true" outlineLevel="0" collapsed="false">
      <c r="A175" s="9"/>
      <c r="B175" s="9"/>
      <c r="C175" s="9"/>
      <c r="D175" s="9"/>
      <c r="E175" s="9"/>
      <c r="F175" s="9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true" outlineLevel="0" collapsed="false">
      <c r="A176" s="9"/>
      <c r="B176" s="9"/>
      <c r="C176" s="9"/>
      <c r="D176" s="9"/>
      <c r="E176" s="9"/>
      <c r="F176" s="9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true" outlineLevel="0" collapsed="false">
      <c r="A177" s="9"/>
      <c r="B177" s="9"/>
      <c r="C177" s="9"/>
      <c r="D177" s="9"/>
      <c r="E177" s="9"/>
      <c r="F177" s="9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true" outlineLevel="0" collapsed="false">
      <c r="A178" s="9"/>
      <c r="B178" s="9"/>
      <c r="C178" s="9"/>
      <c r="D178" s="9"/>
      <c r="E178" s="9"/>
      <c r="F178" s="9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true" outlineLevel="0" collapsed="false">
      <c r="A179" s="9"/>
      <c r="B179" s="9"/>
      <c r="C179" s="9"/>
      <c r="D179" s="9"/>
      <c r="E179" s="9"/>
      <c r="F179" s="9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true" outlineLevel="0" collapsed="false">
      <c r="A180" s="9"/>
      <c r="B180" s="9"/>
      <c r="C180" s="9"/>
      <c r="D180" s="9"/>
      <c r="E180" s="9"/>
      <c r="F180" s="9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true" outlineLevel="0" collapsed="false">
      <c r="A181" s="9"/>
      <c r="B181" s="9"/>
      <c r="C181" s="9"/>
      <c r="D181" s="9"/>
      <c r="E181" s="9"/>
      <c r="F181" s="9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true" outlineLevel="0" collapsed="false">
      <c r="A182" s="9"/>
      <c r="B182" s="9"/>
      <c r="C182" s="9"/>
      <c r="D182" s="9"/>
      <c r="E182" s="9"/>
      <c r="F182" s="9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true" outlineLevel="0" collapsed="false">
      <c r="A183" s="9"/>
      <c r="B183" s="9"/>
      <c r="C183" s="9"/>
      <c r="D183" s="9"/>
      <c r="E183" s="9"/>
      <c r="F183" s="9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true" outlineLevel="0" collapsed="false">
      <c r="A184" s="9"/>
      <c r="B184" s="9"/>
      <c r="C184" s="9"/>
      <c r="D184" s="9"/>
      <c r="E184" s="9"/>
      <c r="F184" s="9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true" outlineLevel="0" collapsed="false">
      <c r="A185" s="9"/>
      <c r="B185" s="9"/>
      <c r="C185" s="9"/>
      <c r="D185" s="9"/>
      <c r="E185" s="9"/>
      <c r="F185" s="9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true" outlineLevel="0" collapsed="false">
      <c r="A186" s="9"/>
      <c r="B186" s="9"/>
      <c r="C186" s="9"/>
      <c r="D186" s="9"/>
      <c r="E186" s="9"/>
      <c r="F186" s="9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true" outlineLevel="0" collapsed="false">
      <c r="A187" s="9"/>
      <c r="B187" s="9"/>
      <c r="C187" s="9"/>
      <c r="D187" s="9"/>
      <c r="E187" s="9"/>
      <c r="F187" s="9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true" outlineLevel="0" collapsed="false">
      <c r="A188" s="9"/>
      <c r="B188" s="9"/>
      <c r="C188" s="9"/>
      <c r="D188" s="9"/>
      <c r="E188" s="9"/>
      <c r="F188" s="9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true" outlineLevel="0" collapsed="false">
      <c r="A189" s="9"/>
      <c r="B189" s="9"/>
      <c r="C189" s="9"/>
      <c r="D189" s="9"/>
      <c r="E189" s="9"/>
      <c r="F189" s="9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true" outlineLevel="0" collapsed="false">
      <c r="A190" s="9"/>
      <c r="B190" s="9"/>
      <c r="C190" s="9"/>
      <c r="D190" s="9"/>
      <c r="E190" s="9"/>
      <c r="F190" s="9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true" outlineLevel="0" collapsed="false">
      <c r="A191" s="9"/>
      <c r="B191" s="9"/>
      <c r="C191" s="9"/>
      <c r="D191" s="9"/>
      <c r="E191" s="9"/>
      <c r="F191" s="9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true" outlineLevel="0" collapsed="false">
      <c r="A192" s="9"/>
      <c r="B192" s="9"/>
      <c r="C192" s="9"/>
      <c r="D192" s="9"/>
      <c r="E192" s="9"/>
      <c r="F192" s="9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true" outlineLevel="0" collapsed="false">
      <c r="A193" s="9"/>
      <c r="B193" s="9"/>
      <c r="C193" s="9"/>
      <c r="D193" s="9"/>
      <c r="E193" s="9"/>
      <c r="F193" s="9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true" outlineLevel="0" collapsed="false">
      <c r="A194" s="9"/>
      <c r="B194" s="9"/>
      <c r="C194" s="9"/>
      <c r="D194" s="9"/>
      <c r="E194" s="9"/>
      <c r="F194" s="9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true" outlineLevel="0" collapsed="false">
      <c r="A195" s="9"/>
      <c r="B195" s="9"/>
      <c r="C195" s="9"/>
      <c r="D195" s="9"/>
      <c r="E195" s="9"/>
      <c r="F195" s="9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true" outlineLevel="0" collapsed="false">
      <c r="A196" s="9"/>
      <c r="B196" s="9"/>
      <c r="C196" s="9"/>
      <c r="D196" s="9"/>
      <c r="E196" s="9"/>
      <c r="F196" s="9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true" outlineLevel="0" collapsed="false">
      <c r="A197" s="9"/>
      <c r="B197" s="9"/>
      <c r="C197" s="9"/>
      <c r="D197" s="9"/>
      <c r="E197" s="9"/>
      <c r="F197" s="9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true" outlineLevel="0" collapsed="false">
      <c r="A198" s="9"/>
      <c r="B198" s="9"/>
      <c r="C198" s="9"/>
      <c r="D198" s="9"/>
      <c r="E198" s="9"/>
      <c r="F198" s="9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true" outlineLevel="0" collapsed="false">
      <c r="A199" s="9"/>
      <c r="B199" s="9"/>
      <c r="C199" s="9"/>
      <c r="D199" s="9"/>
      <c r="E199" s="9"/>
      <c r="F199" s="9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true" outlineLevel="0" collapsed="false">
      <c r="A200" s="9"/>
      <c r="B200" s="9"/>
      <c r="C200" s="9"/>
      <c r="D200" s="9"/>
      <c r="E200" s="9"/>
      <c r="F200" s="9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true" outlineLevel="0" collapsed="false">
      <c r="A201" s="9"/>
      <c r="B201" s="9"/>
      <c r="C201" s="9"/>
      <c r="D201" s="9"/>
      <c r="E201" s="9"/>
      <c r="F201" s="9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true" outlineLevel="0" collapsed="false">
      <c r="A202" s="9"/>
      <c r="B202" s="9"/>
      <c r="C202" s="9"/>
      <c r="D202" s="9"/>
      <c r="E202" s="9"/>
      <c r="F202" s="9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true" outlineLevel="0" collapsed="false">
      <c r="A203" s="9"/>
      <c r="B203" s="9"/>
      <c r="C203" s="9"/>
      <c r="D203" s="9"/>
      <c r="E203" s="9"/>
      <c r="F203" s="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true" outlineLevel="0" collapsed="false">
      <c r="A204" s="9"/>
      <c r="B204" s="9"/>
      <c r="C204" s="9"/>
      <c r="D204" s="9"/>
      <c r="E204" s="9"/>
      <c r="F204" s="9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true" outlineLevel="0" collapsed="false">
      <c r="A205" s="9"/>
      <c r="B205" s="9"/>
      <c r="C205" s="9"/>
      <c r="D205" s="9"/>
      <c r="E205" s="9"/>
      <c r="F205" s="9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true" outlineLevel="0" collapsed="false">
      <c r="A206" s="9"/>
      <c r="B206" s="9"/>
      <c r="C206" s="9"/>
      <c r="D206" s="9"/>
      <c r="E206" s="9"/>
      <c r="F206" s="9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true" outlineLevel="0" collapsed="false">
      <c r="A207" s="9"/>
      <c r="B207" s="9"/>
      <c r="C207" s="9"/>
      <c r="D207" s="9"/>
      <c r="E207" s="9"/>
      <c r="F207" s="9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true" outlineLevel="0" collapsed="false">
      <c r="A208" s="9"/>
      <c r="B208" s="9"/>
      <c r="C208" s="9"/>
      <c r="D208" s="9"/>
      <c r="E208" s="9"/>
      <c r="F208" s="9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true" outlineLevel="0" collapsed="false">
      <c r="A209" s="9"/>
      <c r="B209" s="9"/>
      <c r="C209" s="9"/>
      <c r="D209" s="9"/>
      <c r="E209" s="9"/>
      <c r="F209" s="9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true" outlineLevel="0" collapsed="false">
      <c r="A210" s="9"/>
      <c r="B210" s="9"/>
      <c r="C210" s="9"/>
      <c r="D210" s="9"/>
      <c r="E210" s="9"/>
      <c r="F210" s="9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true" outlineLevel="0" collapsed="false">
      <c r="A211" s="9"/>
      <c r="B211" s="9"/>
      <c r="C211" s="9"/>
      <c r="D211" s="9"/>
      <c r="E211" s="9"/>
      <c r="F211" s="9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true" outlineLevel="0" collapsed="false">
      <c r="A212" s="9"/>
      <c r="B212" s="9"/>
      <c r="C212" s="9"/>
      <c r="D212" s="9"/>
      <c r="E212" s="9"/>
      <c r="F212" s="9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true" outlineLevel="0" collapsed="false">
      <c r="A213" s="9"/>
      <c r="B213" s="9"/>
      <c r="C213" s="9"/>
      <c r="D213" s="9"/>
      <c r="E213" s="9"/>
      <c r="F213" s="9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true" outlineLevel="0" collapsed="false">
      <c r="A214" s="9"/>
      <c r="B214" s="9"/>
      <c r="C214" s="9"/>
      <c r="D214" s="9"/>
      <c r="E214" s="9"/>
      <c r="F214" s="9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true" outlineLevel="0" collapsed="false">
      <c r="A215" s="9"/>
      <c r="B215" s="9"/>
      <c r="C215" s="9"/>
      <c r="D215" s="9"/>
      <c r="E215" s="9"/>
      <c r="F215" s="9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true" outlineLevel="0" collapsed="false">
      <c r="A216" s="9"/>
      <c r="B216" s="9"/>
      <c r="C216" s="9"/>
      <c r="D216" s="9"/>
      <c r="E216" s="9"/>
      <c r="F216" s="9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true" outlineLevel="0" collapsed="false">
      <c r="A217" s="9"/>
      <c r="B217" s="9"/>
      <c r="C217" s="9"/>
      <c r="D217" s="9"/>
      <c r="E217" s="9"/>
      <c r="F217" s="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true" outlineLevel="0" collapsed="false">
      <c r="A218" s="9"/>
      <c r="B218" s="9"/>
      <c r="C218" s="9"/>
      <c r="D218" s="9"/>
      <c r="E218" s="9"/>
      <c r="F218" s="9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.75" hidden="false" customHeight="true" outlineLevel="0" collapsed="false">
      <c r="A219" s="9"/>
      <c r="B219" s="9"/>
      <c r="C219" s="9"/>
      <c r="D219" s="9"/>
      <c r="E219" s="9"/>
      <c r="F219" s="9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true" outlineLevel="0" collapsed="false">
      <c r="A220" s="9"/>
      <c r="B220" s="9"/>
      <c r="C220" s="9"/>
      <c r="D220" s="9"/>
      <c r="E220" s="9"/>
      <c r="F220" s="9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true" outlineLevel="0" collapsed="false">
      <c r="A221" s="9"/>
      <c r="B221" s="9"/>
      <c r="C221" s="9"/>
      <c r="D221" s="9"/>
      <c r="E221" s="9"/>
      <c r="F221" s="9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.75" hidden="false" customHeight="true" outlineLevel="0" collapsed="false">
      <c r="A222" s="9"/>
      <c r="B222" s="9"/>
      <c r="C222" s="9"/>
      <c r="D222" s="9"/>
      <c r="E222" s="9"/>
      <c r="F222" s="9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.75" hidden="false" customHeight="true" outlineLevel="0" collapsed="false">
      <c r="A223" s="9"/>
      <c r="B223" s="9"/>
      <c r="C223" s="9"/>
      <c r="D223" s="9"/>
      <c r="E223" s="9"/>
      <c r="F223" s="9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.75" hidden="false" customHeight="true" outlineLevel="0" collapsed="false">
      <c r="A224" s="9"/>
      <c r="B224" s="9"/>
      <c r="C224" s="9"/>
      <c r="D224" s="9"/>
      <c r="E224" s="9"/>
      <c r="F224" s="9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.75" hidden="false" customHeight="true" outlineLevel="0" collapsed="false">
      <c r="A225" s="9"/>
      <c r="B225" s="9"/>
      <c r="C225" s="9"/>
      <c r="D225" s="9"/>
      <c r="E225" s="9"/>
      <c r="F225" s="9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.75" hidden="false" customHeight="true" outlineLevel="0" collapsed="false">
      <c r="A226" s="9"/>
      <c r="B226" s="9"/>
      <c r="C226" s="9"/>
      <c r="D226" s="9"/>
      <c r="E226" s="9"/>
      <c r="F226" s="9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.75" hidden="false" customHeight="true" outlineLevel="0" collapsed="false">
      <c r="A227" s="9"/>
      <c r="B227" s="9"/>
      <c r="C227" s="9"/>
      <c r="D227" s="9"/>
      <c r="E227" s="9"/>
      <c r="F227" s="9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true" outlineLevel="0" collapsed="false">
      <c r="A228" s="9"/>
      <c r="B228" s="9"/>
      <c r="C228" s="9"/>
      <c r="D228" s="9"/>
      <c r="E228" s="9"/>
      <c r="F228" s="9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true" outlineLevel="0" collapsed="false">
      <c r="A229" s="9"/>
      <c r="B229" s="9"/>
      <c r="C229" s="9"/>
      <c r="D229" s="9"/>
      <c r="E229" s="9"/>
      <c r="F229" s="9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.75" hidden="false" customHeight="true" outlineLevel="0" collapsed="false">
      <c r="A230" s="9"/>
      <c r="B230" s="9"/>
      <c r="C230" s="9"/>
      <c r="D230" s="9"/>
      <c r="E230" s="9"/>
      <c r="F230" s="9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true" outlineLevel="0" collapsed="false">
      <c r="A231" s="9"/>
      <c r="B231" s="9"/>
      <c r="C231" s="9"/>
      <c r="D231" s="9"/>
      <c r="E231" s="9"/>
      <c r="F231" s="9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.75" hidden="false" customHeight="true" outlineLevel="0" collapsed="false">
      <c r="A232" s="9"/>
      <c r="B232" s="9"/>
      <c r="C232" s="9"/>
      <c r="D232" s="9"/>
      <c r="E232" s="9"/>
      <c r="F232" s="9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.75" hidden="false" customHeight="true" outlineLevel="0" collapsed="false">
      <c r="A233" s="9"/>
      <c r="B233" s="9"/>
      <c r="C233" s="9"/>
      <c r="D233" s="9"/>
      <c r="E233" s="9"/>
      <c r="F233" s="9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.75" hidden="false" customHeight="true" outlineLevel="0" collapsed="false">
      <c r="A234" s="9"/>
      <c r="B234" s="9"/>
      <c r="C234" s="9"/>
      <c r="D234" s="9"/>
      <c r="E234" s="9"/>
      <c r="F234" s="9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.75" hidden="false" customHeight="true" outlineLevel="0" collapsed="false">
      <c r="A235" s="9"/>
      <c r="B235" s="9"/>
      <c r="C235" s="9"/>
      <c r="D235" s="9"/>
      <c r="E235" s="9"/>
      <c r="F235" s="9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.75" hidden="false" customHeight="true" outlineLevel="0" collapsed="false">
      <c r="A236" s="9"/>
      <c r="B236" s="9"/>
      <c r="C236" s="9"/>
      <c r="D236" s="9"/>
      <c r="E236" s="9"/>
      <c r="F236" s="9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true" outlineLevel="0" collapsed="false">
      <c r="A237" s="9"/>
      <c r="B237" s="9"/>
      <c r="C237" s="9"/>
      <c r="D237" s="9"/>
      <c r="E237" s="9"/>
      <c r="F237" s="9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true" outlineLevel="0" collapsed="false">
      <c r="A238" s="9"/>
      <c r="B238" s="9"/>
      <c r="C238" s="9"/>
      <c r="D238" s="9"/>
      <c r="E238" s="9"/>
      <c r="F238" s="9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true" outlineLevel="0" collapsed="false">
      <c r="A239" s="9"/>
      <c r="B239" s="9"/>
      <c r="C239" s="9"/>
      <c r="D239" s="9"/>
      <c r="E239" s="9"/>
      <c r="F239" s="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.75" hidden="false" customHeight="true" outlineLevel="0" collapsed="false">
      <c r="A240" s="9"/>
      <c r="B240" s="9"/>
      <c r="C240" s="9"/>
      <c r="D240" s="9"/>
      <c r="E240" s="9"/>
      <c r="F240" s="9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.75" hidden="false" customHeight="true" outlineLevel="0" collapsed="false">
      <c r="A241" s="9"/>
      <c r="B241" s="9"/>
      <c r="C241" s="9"/>
      <c r="D241" s="9"/>
      <c r="E241" s="9"/>
      <c r="F241" s="9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.75" hidden="false" customHeight="true" outlineLevel="0" collapsed="false">
      <c r="A242" s="9"/>
      <c r="B242" s="9"/>
      <c r="C242" s="9"/>
      <c r="D242" s="9"/>
      <c r="E242" s="9"/>
      <c r="F242" s="9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.75" hidden="false" customHeight="true" outlineLevel="0" collapsed="false">
      <c r="A243" s="9"/>
      <c r="B243" s="9"/>
      <c r="C243" s="9"/>
      <c r="D243" s="9"/>
      <c r="E243" s="9"/>
      <c r="F243" s="9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.75" hidden="false" customHeight="true" outlineLevel="0" collapsed="false">
      <c r="A244" s="9"/>
      <c r="B244" s="9"/>
      <c r="C244" s="9"/>
      <c r="D244" s="9"/>
      <c r="E244" s="9"/>
      <c r="F244" s="9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.75" hidden="false" customHeight="true" outlineLevel="0" collapsed="false">
      <c r="A245" s="9"/>
      <c r="B245" s="9"/>
      <c r="C245" s="9"/>
      <c r="D245" s="9"/>
      <c r="E245" s="9"/>
      <c r="F245" s="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.75" hidden="false" customHeight="true" outlineLevel="0" collapsed="false">
      <c r="A246" s="9"/>
      <c r="B246" s="9"/>
      <c r="C246" s="9"/>
      <c r="D246" s="9"/>
      <c r="E246" s="9"/>
      <c r="F246" s="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.75" hidden="false" customHeight="true" outlineLevel="0" collapsed="false">
      <c r="A247" s="9"/>
      <c r="B247" s="9"/>
      <c r="C247" s="9"/>
      <c r="D247" s="9"/>
      <c r="E247" s="9"/>
      <c r="F247" s="9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.75" hidden="false" customHeight="true" outlineLevel="0" collapsed="false">
      <c r="A248" s="9"/>
      <c r="B248" s="9"/>
      <c r="C248" s="9"/>
      <c r="D248" s="9"/>
      <c r="E248" s="9"/>
      <c r="F248" s="9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.75" hidden="false" customHeight="true" outlineLevel="0" collapsed="false">
      <c r="A249" s="9"/>
      <c r="B249" s="9"/>
      <c r="C249" s="9"/>
      <c r="D249" s="9"/>
      <c r="E249" s="9"/>
      <c r="F249" s="9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true" outlineLevel="0" collapsed="false">
      <c r="A250" s="9"/>
      <c r="B250" s="9"/>
      <c r="C250" s="9"/>
      <c r="D250" s="9"/>
      <c r="E250" s="9"/>
      <c r="F250" s="9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.75" hidden="false" customHeight="true" outlineLevel="0" collapsed="false">
      <c r="A251" s="9"/>
      <c r="B251" s="9"/>
      <c r="C251" s="9"/>
      <c r="D251" s="9"/>
      <c r="E251" s="9"/>
      <c r="F251" s="9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.75" hidden="false" customHeight="true" outlineLevel="0" collapsed="false">
      <c r="A252" s="9"/>
      <c r="B252" s="9"/>
      <c r="C252" s="9"/>
      <c r="D252" s="9"/>
      <c r="E252" s="9"/>
      <c r="F252" s="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.75" hidden="false" customHeight="true" outlineLevel="0" collapsed="false">
      <c r="A253" s="9"/>
      <c r="B253" s="9"/>
      <c r="C253" s="9"/>
      <c r="D253" s="9"/>
      <c r="E253" s="9"/>
      <c r="F253" s="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true" outlineLevel="0" collapsed="false">
      <c r="A254" s="9"/>
      <c r="B254" s="9"/>
      <c r="C254" s="9"/>
      <c r="D254" s="9"/>
      <c r="E254" s="9"/>
      <c r="F254" s="9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true" outlineLevel="0" collapsed="false">
      <c r="A255" s="9"/>
      <c r="B255" s="9"/>
      <c r="C255" s="9"/>
      <c r="D255" s="9"/>
      <c r="E255" s="9"/>
      <c r="F255" s="9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true" outlineLevel="0" collapsed="false">
      <c r="A256" s="9"/>
      <c r="B256" s="9"/>
      <c r="C256" s="9"/>
      <c r="D256" s="9"/>
      <c r="E256" s="9"/>
      <c r="F256" s="9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true" outlineLevel="0" collapsed="false">
      <c r="A257" s="9"/>
      <c r="B257" s="9"/>
      <c r="C257" s="9"/>
      <c r="D257" s="9"/>
      <c r="E257" s="9"/>
      <c r="F257" s="9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true" outlineLevel="0" collapsed="false">
      <c r="A258" s="9"/>
      <c r="B258" s="9"/>
      <c r="C258" s="9"/>
      <c r="D258" s="9"/>
      <c r="E258" s="9"/>
      <c r="F258" s="9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true" outlineLevel="0" collapsed="false">
      <c r="A259" s="9"/>
      <c r="B259" s="9"/>
      <c r="C259" s="9"/>
      <c r="D259" s="9"/>
      <c r="E259" s="9"/>
      <c r="F259" s="9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true" outlineLevel="0" collapsed="false">
      <c r="A260" s="9"/>
      <c r="B260" s="9"/>
      <c r="C260" s="9"/>
      <c r="D260" s="9"/>
      <c r="E260" s="9"/>
      <c r="F260" s="9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true" outlineLevel="0" collapsed="false">
      <c r="A261" s="9"/>
      <c r="B261" s="9"/>
      <c r="C261" s="9"/>
      <c r="D261" s="9"/>
      <c r="E261" s="9"/>
      <c r="F261" s="9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true" outlineLevel="0" collapsed="false">
      <c r="A262" s="9"/>
      <c r="B262" s="9"/>
      <c r="C262" s="9"/>
      <c r="D262" s="9"/>
      <c r="E262" s="9"/>
      <c r="F262" s="9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true" outlineLevel="0" collapsed="false">
      <c r="A263" s="9"/>
      <c r="B263" s="9"/>
      <c r="C263" s="9"/>
      <c r="D263" s="9"/>
      <c r="E263" s="9"/>
      <c r="F263" s="9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true" outlineLevel="0" collapsed="false">
      <c r="A264" s="9"/>
      <c r="B264" s="9"/>
      <c r="C264" s="9"/>
      <c r="D264" s="9"/>
      <c r="E264" s="9"/>
      <c r="F264" s="9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true" outlineLevel="0" collapsed="false">
      <c r="A265" s="9"/>
      <c r="B265" s="9"/>
      <c r="C265" s="9"/>
      <c r="D265" s="9"/>
      <c r="E265" s="9"/>
      <c r="F265" s="9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true" outlineLevel="0" collapsed="false">
      <c r="A266" s="9"/>
      <c r="B266" s="9"/>
      <c r="C266" s="9"/>
      <c r="D266" s="9"/>
      <c r="E266" s="9"/>
      <c r="F266" s="9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true" outlineLevel="0" collapsed="false">
      <c r="A267" s="9"/>
      <c r="B267" s="9"/>
      <c r="C267" s="9"/>
      <c r="D267" s="9"/>
      <c r="E267" s="9"/>
      <c r="F267" s="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true" outlineLevel="0" collapsed="false">
      <c r="A268" s="9"/>
      <c r="B268" s="9"/>
      <c r="C268" s="9"/>
      <c r="D268" s="9"/>
      <c r="E268" s="9"/>
      <c r="F268" s="9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true" outlineLevel="0" collapsed="false">
      <c r="A269" s="9"/>
      <c r="B269" s="9"/>
      <c r="C269" s="9"/>
      <c r="D269" s="9"/>
      <c r="E269" s="9"/>
      <c r="F269" s="9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true" outlineLevel="0" collapsed="false">
      <c r="A270" s="9"/>
      <c r="B270" s="9"/>
      <c r="C270" s="9"/>
      <c r="D270" s="9"/>
      <c r="E270" s="9"/>
      <c r="F270" s="9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true" outlineLevel="0" collapsed="false">
      <c r="A271" s="9"/>
      <c r="B271" s="9"/>
      <c r="C271" s="9"/>
      <c r="D271" s="9"/>
      <c r="E271" s="9"/>
      <c r="F271" s="9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true" outlineLevel="0" collapsed="false">
      <c r="A272" s="9"/>
      <c r="B272" s="9"/>
      <c r="C272" s="9"/>
      <c r="D272" s="9"/>
      <c r="E272" s="9"/>
      <c r="F272" s="9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true" outlineLevel="0" collapsed="false">
      <c r="A273" s="9"/>
      <c r="B273" s="9"/>
      <c r="C273" s="9"/>
      <c r="D273" s="9"/>
      <c r="E273" s="9"/>
      <c r="F273" s="9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true" outlineLevel="0" collapsed="false">
      <c r="A274" s="9"/>
      <c r="B274" s="9"/>
      <c r="C274" s="9"/>
      <c r="D274" s="9"/>
      <c r="E274" s="9"/>
      <c r="F274" s="9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true" outlineLevel="0" collapsed="false">
      <c r="A275" s="9"/>
      <c r="B275" s="9"/>
      <c r="C275" s="9"/>
      <c r="D275" s="9"/>
      <c r="E275" s="9"/>
      <c r="F275" s="9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true" outlineLevel="0" collapsed="false">
      <c r="A276" s="9"/>
      <c r="B276" s="9"/>
      <c r="C276" s="9"/>
      <c r="D276" s="9"/>
      <c r="E276" s="9"/>
      <c r="F276" s="9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true" outlineLevel="0" collapsed="false">
      <c r="A277" s="9"/>
      <c r="B277" s="9"/>
      <c r="C277" s="9"/>
      <c r="D277" s="9"/>
      <c r="E277" s="9"/>
      <c r="F277" s="9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true" outlineLevel="0" collapsed="false">
      <c r="A278" s="9"/>
      <c r="B278" s="9"/>
      <c r="C278" s="9"/>
      <c r="D278" s="9"/>
      <c r="E278" s="9"/>
      <c r="F278" s="9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true" outlineLevel="0" collapsed="false">
      <c r="A279" s="9"/>
      <c r="B279" s="9"/>
      <c r="C279" s="9"/>
      <c r="D279" s="9"/>
      <c r="E279" s="9"/>
      <c r="F279" s="9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true" outlineLevel="0" collapsed="false">
      <c r="A280" s="9"/>
      <c r="B280" s="9"/>
      <c r="C280" s="9"/>
      <c r="D280" s="9"/>
      <c r="E280" s="9"/>
      <c r="F280" s="9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true" outlineLevel="0" collapsed="false">
      <c r="A281" s="9"/>
      <c r="B281" s="9"/>
      <c r="C281" s="9"/>
      <c r="D281" s="9"/>
      <c r="E281" s="9"/>
      <c r="F281" s="9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true" outlineLevel="0" collapsed="false">
      <c r="A282" s="9"/>
      <c r="B282" s="9"/>
      <c r="C282" s="9"/>
      <c r="D282" s="9"/>
      <c r="E282" s="9"/>
      <c r="F282" s="9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true" outlineLevel="0" collapsed="false">
      <c r="A283" s="9"/>
      <c r="B283" s="9"/>
      <c r="C283" s="9"/>
      <c r="D283" s="9"/>
      <c r="E283" s="9"/>
      <c r="F283" s="9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true" outlineLevel="0" collapsed="false">
      <c r="A284" s="9"/>
      <c r="B284" s="9"/>
      <c r="C284" s="9"/>
      <c r="D284" s="9"/>
      <c r="E284" s="9"/>
      <c r="F284" s="9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true" outlineLevel="0" collapsed="false">
      <c r="A285" s="9"/>
      <c r="B285" s="9"/>
      <c r="C285" s="9"/>
      <c r="D285" s="9"/>
      <c r="E285" s="9"/>
      <c r="F285" s="9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true" outlineLevel="0" collapsed="false">
      <c r="A286" s="9"/>
      <c r="B286" s="9"/>
      <c r="C286" s="9"/>
      <c r="D286" s="9"/>
      <c r="E286" s="9"/>
      <c r="F286" s="9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true" outlineLevel="0" collapsed="false">
      <c r="A287" s="9"/>
      <c r="B287" s="9"/>
      <c r="C287" s="9"/>
      <c r="D287" s="9"/>
      <c r="E287" s="9"/>
      <c r="F287" s="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true" outlineLevel="0" collapsed="false">
      <c r="A288" s="9"/>
      <c r="B288" s="9"/>
      <c r="C288" s="9"/>
      <c r="D288" s="9"/>
      <c r="E288" s="9"/>
      <c r="F288" s="9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true" outlineLevel="0" collapsed="false">
      <c r="A289" s="9"/>
      <c r="B289" s="9"/>
      <c r="C289" s="9"/>
      <c r="D289" s="9"/>
      <c r="E289" s="9"/>
      <c r="F289" s="9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true" outlineLevel="0" collapsed="false">
      <c r="A290" s="9"/>
      <c r="B290" s="9"/>
      <c r="C290" s="9"/>
      <c r="D290" s="9"/>
      <c r="E290" s="9"/>
      <c r="F290" s="9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true" outlineLevel="0" collapsed="false">
      <c r="A291" s="9"/>
      <c r="B291" s="9"/>
      <c r="C291" s="9"/>
      <c r="D291" s="9"/>
      <c r="E291" s="9"/>
      <c r="F291" s="9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true" outlineLevel="0" collapsed="false">
      <c r="A292" s="9"/>
      <c r="B292" s="9"/>
      <c r="C292" s="9"/>
      <c r="D292" s="9"/>
      <c r="E292" s="9"/>
      <c r="F292" s="9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true" outlineLevel="0" collapsed="false">
      <c r="A293" s="9"/>
      <c r="B293" s="9"/>
      <c r="C293" s="9"/>
      <c r="D293" s="9"/>
      <c r="E293" s="9"/>
      <c r="F293" s="9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true" outlineLevel="0" collapsed="false">
      <c r="A294" s="9"/>
      <c r="B294" s="9"/>
      <c r="C294" s="9"/>
      <c r="D294" s="9"/>
      <c r="E294" s="9"/>
      <c r="F294" s="9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true" outlineLevel="0" collapsed="false">
      <c r="A295" s="9"/>
      <c r="B295" s="9"/>
      <c r="C295" s="9"/>
      <c r="D295" s="9"/>
      <c r="E295" s="9"/>
      <c r="F295" s="9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true" outlineLevel="0" collapsed="false">
      <c r="A296" s="9"/>
      <c r="B296" s="9"/>
      <c r="C296" s="9"/>
      <c r="D296" s="9"/>
      <c r="E296" s="9"/>
      <c r="F296" s="9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true" outlineLevel="0" collapsed="false">
      <c r="A297" s="9"/>
      <c r="B297" s="9"/>
      <c r="C297" s="9"/>
      <c r="D297" s="9"/>
      <c r="E297" s="9"/>
      <c r="F297" s="9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true" outlineLevel="0" collapsed="false">
      <c r="A298" s="9"/>
      <c r="B298" s="9"/>
      <c r="C298" s="9"/>
      <c r="D298" s="9"/>
      <c r="E298" s="9"/>
      <c r="F298" s="9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true" outlineLevel="0" collapsed="false">
      <c r="A299" s="9"/>
      <c r="B299" s="9"/>
      <c r="C299" s="9"/>
      <c r="D299" s="9"/>
      <c r="E299" s="9"/>
      <c r="F299" s="9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true" outlineLevel="0" collapsed="false">
      <c r="A300" s="9"/>
      <c r="B300" s="9"/>
      <c r="C300" s="9"/>
      <c r="D300" s="9"/>
      <c r="E300" s="9"/>
      <c r="F300" s="9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true" outlineLevel="0" collapsed="false">
      <c r="A301" s="9"/>
      <c r="B301" s="9"/>
      <c r="C301" s="9"/>
      <c r="D301" s="9"/>
      <c r="E301" s="9"/>
      <c r="F301" s="9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true" outlineLevel="0" collapsed="false">
      <c r="A302" s="9"/>
      <c r="B302" s="9"/>
      <c r="C302" s="9"/>
      <c r="D302" s="9"/>
      <c r="E302" s="9"/>
      <c r="F302" s="9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true" outlineLevel="0" collapsed="false">
      <c r="A303" s="9"/>
      <c r="B303" s="9"/>
      <c r="C303" s="9"/>
      <c r="D303" s="9"/>
      <c r="E303" s="9"/>
      <c r="F303" s="9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true" outlineLevel="0" collapsed="false">
      <c r="A304" s="9"/>
      <c r="B304" s="9"/>
      <c r="C304" s="9"/>
      <c r="D304" s="9"/>
      <c r="E304" s="9"/>
      <c r="F304" s="9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true" outlineLevel="0" collapsed="false">
      <c r="A305" s="9"/>
      <c r="B305" s="9"/>
      <c r="C305" s="9"/>
      <c r="D305" s="9"/>
      <c r="E305" s="9"/>
      <c r="F305" s="9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true" outlineLevel="0" collapsed="false">
      <c r="A306" s="9"/>
      <c r="B306" s="9"/>
      <c r="C306" s="9"/>
      <c r="D306" s="9"/>
      <c r="E306" s="9"/>
      <c r="F306" s="9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true" outlineLevel="0" collapsed="false">
      <c r="A307" s="9"/>
      <c r="B307" s="9"/>
      <c r="C307" s="9"/>
      <c r="D307" s="9"/>
      <c r="E307" s="9"/>
      <c r="F307" s="9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true" outlineLevel="0" collapsed="false">
      <c r="A308" s="9"/>
      <c r="B308" s="9"/>
      <c r="C308" s="9"/>
      <c r="D308" s="9"/>
      <c r="E308" s="9"/>
      <c r="F308" s="9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true" outlineLevel="0" collapsed="false">
      <c r="A309" s="9"/>
      <c r="B309" s="9"/>
      <c r="C309" s="9"/>
      <c r="D309" s="9"/>
      <c r="E309" s="9"/>
      <c r="F309" s="9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true" outlineLevel="0" collapsed="false">
      <c r="A310" s="9"/>
      <c r="B310" s="9"/>
      <c r="C310" s="9"/>
      <c r="D310" s="9"/>
      <c r="E310" s="9"/>
      <c r="F310" s="9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true" outlineLevel="0" collapsed="false">
      <c r="A311" s="9"/>
      <c r="B311" s="9"/>
      <c r="C311" s="9"/>
      <c r="D311" s="9"/>
      <c r="E311" s="9"/>
      <c r="F311" s="9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true" outlineLevel="0" collapsed="false">
      <c r="A312" s="9"/>
      <c r="B312" s="9"/>
      <c r="C312" s="9"/>
      <c r="D312" s="9"/>
      <c r="E312" s="9"/>
      <c r="F312" s="9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true" outlineLevel="0" collapsed="false">
      <c r="A313" s="9"/>
      <c r="B313" s="9"/>
      <c r="C313" s="9"/>
      <c r="D313" s="9"/>
      <c r="E313" s="9"/>
      <c r="F313" s="9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true" outlineLevel="0" collapsed="false">
      <c r="A314" s="9"/>
      <c r="B314" s="9"/>
      <c r="C314" s="9"/>
      <c r="D314" s="9"/>
      <c r="E314" s="9"/>
      <c r="F314" s="9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true" outlineLevel="0" collapsed="false">
      <c r="A315" s="9"/>
      <c r="B315" s="9"/>
      <c r="C315" s="9"/>
      <c r="D315" s="9"/>
      <c r="E315" s="9"/>
      <c r="F315" s="9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true" outlineLevel="0" collapsed="false">
      <c r="A316" s="9"/>
      <c r="B316" s="9"/>
      <c r="C316" s="9"/>
      <c r="D316" s="9"/>
      <c r="E316" s="9"/>
      <c r="F316" s="9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true" outlineLevel="0" collapsed="false">
      <c r="A317" s="9"/>
      <c r="B317" s="9"/>
      <c r="C317" s="9"/>
      <c r="D317" s="9"/>
      <c r="E317" s="9"/>
      <c r="F317" s="9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true" outlineLevel="0" collapsed="false">
      <c r="A318" s="9"/>
      <c r="B318" s="9"/>
      <c r="C318" s="9"/>
      <c r="D318" s="9"/>
      <c r="E318" s="9"/>
      <c r="F318" s="9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true" outlineLevel="0" collapsed="false">
      <c r="A319" s="9"/>
      <c r="B319" s="9"/>
      <c r="C319" s="9"/>
      <c r="D319" s="9"/>
      <c r="E319" s="9"/>
      <c r="F319" s="9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true" outlineLevel="0" collapsed="false">
      <c r="A320" s="9"/>
      <c r="B320" s="9"/>
      <c r="C320" s="9"/>
      <c r="D320" s="9"/>
      <c r="E320" s="9"/>
      <c r="F320" s="9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true" outlineLevel="0" collapsed="false">
      <c r="A321" s="9"/>
      <c r="B321" s="9"/>
      <c r="C321" s="9"/>
      <c r="D321" s="9"/>
      <c r="E321" s="9"/>
      <c r="F321" s="9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true" outlineLevel="0" collapsed="false">
      <c r="A322" s="9"/>
      <c r="B322" s="9"/>
      <c r="C322" s="9"/>
      <c r="D322" s="9"/>
      <c r="E322" s="9"/>
      <c r="F322" s="9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true" outlineLevel="0" collapsed="false">
      <c r="A323" s="9"/>
      <c r="B323" s="9"/>
      <c r="C323" s="9"/>
      <c r="D323" s="9"/>
      <c r="E323" s="9"/>
      <c r="F323" s="9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true" outlineLevel="0" collapsed="false">
      <c r="A324" s="9"/>
      <c r="B324" s="9"/>
      <c r="C324" s="9"/>
      <c r="D324" s="9"/>
      <c r="E324" s="9"/>
      <c r="F324" s="9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true" outlineLevel="0" collapsed="false">
      <c r="A325" s="9"/>
      <c r="B325" s="9"/>
      <c r="C325" s="9"/>
      <c r="D325" s="9"/>
      <c r="E325" s="9"/>
      <c r="F325" s="9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true" outlineLevel="0" collapsed="false">
      <c r="A326" s="9"/>
      <c r="B326" s="9"/>
      <c r="C326" s="9"/>
      <c r="D326" s="9"/>
      <c r="E326" s="9"/>
      <c r="F326" s="9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true" outlineLevel="0" collapsed="false">
      <c r="A327" s="9"/>
      <c r="B327" s="9"/>
      <c r="C327" s="9"/>
      <c r="D327" s="9"/>
      <c r="E327" s="9"/>
      <c r="F327" s="9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true" outlineLevel="0" collapsed="false">
      <c r="A328" s="9"/>
      <c r="B328" s="9"/>
      <c r="C328" s="9"/>
      <c r="D328" s="9"/>
      <c r="E328" s="9"/>
      <c r="F328" s="9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true" outlineLevel="0" collapsed="false">
      <c r="A329" s="9"/>
      <c r="B329" s="9"/>
      <c r="C329" s="9"/>
      <c r="D329" s="9"/>
      <c r="E329" s="9"/>
      <c r="F329" s="9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true" outlineLevel="0" collapsed="false">
      <c r="A330" s="9"/>
      <c r="B330" s="9"/>
      <c r="C330" s="9"/>
      <c r="D330" s="9"/>
      <c r="E330" s="9"/>
      <c r="F330" s="9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true" outlineLevel="0" collapsed="false">
      <c r="A331" s="9"/>
      <c r="B331" s="9"/>
      <c r="C331" s="9"/>
      <c r="D331" s="9"/>
      <c r="E331" s="9"/>
      <c r="F331" s="9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true" outlineLevel="0" collapsed="false">
      <c r="A332" s="9"/>
      <c r="B332" s="9"/>
      <c r="C332" s="9"/>
      <c r="D332" s="9"/>
      <c r="E332" s="9"/>
      <c r="F332" s="9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true" outlineLevel="0" collapsed="false">
      <c r="A333" s="9"/>
      <c r="B333" s="9"/>
      <c r="C333" s="9"/>
      <c r="D333" s="9"/>
      <c r="E333" s="9"/>
      <c r="F333" s="9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true" outlineLevel="0" collapsed="false">
      <c r="A334" s="9"/>
      <c r="B334" s="9"/>
      <c r="C334" s="9"/>
      <c r="D334" s="9"/>
      <c r="E334" s="9"/>
      <c r="F334" s="9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true" outlineLevel="0" collapsed="false">
      <c r="A335" s="9"/>
      <c r="B335" s="9"/>
      <c r="C335" s="9"/>
      <c r="D335" s="9"/>
      <c r="E335" s="9"/>
      <c r="F335" s="9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true" outlineLevel="0" collapsed="false">
      <c r="A336" s="9"/>
      <c r="B336" s="9"/>
      <c r="C336" s="9"/>
      <c r="D336" s="9"/>
      <c r="E336" s="9"/>
      <c r="F336" s="9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true" outlineLevel="0" collapsed="false">
      <c r="A337" s="9"/>
      <c r="B337" s="9"/>
      <c r="C337" s="9"/>
      <c r="D337" s="9"/>
      <c r="E337" s="9"/>
      <c r="F337" s="9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true" outlineLevel="0" collapsed="false">
      <c r="A338" s="9"/>
      <c r="B338" s="9"/>
      <c r="C338" s="9"/>
      <c r="D338" s="9"/>
      <c r="E338" s="9"/>
      <c r="F338" s="9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true" outlineLevel="0" collapsed="false">
      <c r="A339" s="9"/>
      <c r="B339" s="9"/>
      <c r="C339" s="9"/>
      <c r="D339" s="9"/>
      <c r="E339" s="9"/>
      <c r="F339" s="9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true" outlineLevel="0" collapsed="false">
      <c r="A340" s="9"/>
      <c r="B340" s="9"/>
      <c r="C340" s="9"/>
      <c r="D340" s="9"/>
      <c r="E340" s="9"/>
      <c r="F340" s="9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true" outlineLevel="0" collapsed="false">
      <c r="A341" s="9"/>
      <c r="B341" s="9"/>
      <c r="C341" s="9"/>
      <c r="D341" s="9"/>
      <c r="E341" s="9"/>
      <c r="F341" s="9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true" outlineLevel="0" collapsed="false">
      <c r="A342" s="9"/>
      <c r="B342" s="9"/>
      <c r="C342" s="9"/>
      <c r="D342" s="9"/>
      <c r="E342" s="9"/>
      <c r="F342" s="9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true" outlineLevel="0" collapsed="false">
      <c r="A343" s="9"/>
      <c r="B343" s="9"/>
      <c r="C343" s="9"/>
      <c r="D343" s="9"/>
      <c r="E343" s="9"/>
      <c r="F343" s="9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true" outlineLevel="0" collapsed="false">
      <c r="A344" s="9"/>
      <c r="B344" s="9"/>
      <c r="C344" s="9"/>
      <c r="D344" s="9"/>
      <c r="E344" s="9"/>
      <c r="F344" s="9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true" outlineLevel="0" collapsed="false">
      <c r="A345" s="9"/>
      <c r="B345" s="9"/>
      <c r="C345" s="9"/>
      <c r="D345" s="9"/>
      <c r="E345" s="9"/>
      <c r="F345" s="9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true" outlineLevel="0" collapsed="false">
      <c r="A346" s="9"/>
      <c r="B346" s="9"/>
      <c r="C346" s="9"/>
      <c r="D346" s="9"/>
      <c r="E346" s="9"/>
      <c r="F346" s="9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true" outlineLevel="0" collapsed="false">
      <c r="A347" s="9"/>
      <c r="B347" s="9"/>
      <c r="C347" s="9"/>
      <c r="D347" s="9"/>
      <c r="E347" s="9"/>
      <c r="F347" s="9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true" outlineLevel="0" collapsed="false">
      <c r="A348" s="9"/>
      <c r="B348" s="9"/>
      <c r="C348" s="9"/>
      <c r="D348" s="9"/>
      <c r="E348" s="9"/>
      <c r="F348" s="9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true" outlineLevel="0" collapsed="false">
      <c r="A349" s="9"/>
      <c r="B349" s="9"/>
      <c r="C349" s="9"/>
      <c r="D349" s="9"/>
      <c r="E349" s="9"/>
      <c r="F349" s="9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true" outlineLevel="0" collapsed="false">
      <c r="A350" s="9"/>
      <c r="B350" s="9"/>
      <c r="C350" s="9"/>
      <c r="D350" s="9"/>
      <c r="E350" s="9"/>
      <c r="F350" s="9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true" outlineLevel="0" collapsed="false">
      <c r="A351" s="9"/>
      <c r="B351" s="9"/>
      <c r="C351" s="9"/>
      <c r="D351" s="9"/>
      <c r="E351" s="9"/>
      <c r="F351" s="9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true" outlineLevel="0" collapsed="false">
      <c r="A352" s="9"/>
      <c r="B352" s="9"/>
      <c r="C352" s="9"/>
      <c r="D352" s="9"/>
      <c r="E352" s="9"/>
      <c r="F352" s="9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true" outlineLevel="0" collapsed="false">
      <c r="A353" s="9"/>
      <c r="B353" s="9"/>
      <c r="C353" s="9"/>
      <c r="D353" s="9"/>
      <c r="E353" s="9"/>
      <c r="F353" s="9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true" outlineLevel="0" collapsed="false">
      <c r="A354" s="9"/>
      <c r="B354" s="9"/>
      <c r="C354" s="9"/>
      <c r="D354" s="9"/>
      <c r="E354" s="9"/>
      <c r="F354" s="9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true" outlineLevel="0" collapsed="false">
      <c r="A355" s="9"/>
      <c r="B355" s="9"/>
      <c r="C355" s="9"/>
      <c r="D355" s="9"/>
      <c r="E355" s="9"/>
      <c r="F355" s="9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true" outlineLevel="0" collapsed="false">
      <c r="A356" s="9"/>
      <c r="B356" s="9"/>
      <c r="C356" s="9"/>
      <c r="D356" s="9"/>
      <c r="E356" s="9"/>
      <c r="F356" s="9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true" outlineLevel="0" collapsed="false">
      <c r="A357" s="9"/>
      <c r="B357" s="9"/>
      <c r="C357" s="9"/>
      <c r="D357" s="9"/>
      <c r="E357" s="9"/>
      <c r="F357" s="9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true" outlineLevel="0" collapsed="false">
      <c r="A358" s="9"/>
      <c r="B358" s="9"/>
      <c r="C358" s="9"/>
      <c r="D358" s="9"/>
      <c r="E358" s="9"/>
      <c r="F358" s="9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true" outlineLevel="0" collapsed="false">
      <c r="A359" s="9"/>
      <c r="B359" s="9"/>
      <c r="C359" s="9"/>
      <c r="D359" s="9"/>
      <c r="E359" s="9"/>
      <c r="F359" s="9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true" outlineLevel="0" collapsed="false">
      <c r="A360" s="9"/>
      <c r="B360" s="9"/>
      <c r="C360" s="9"/>
      <c r="D360" s="9"/>
      <c r="E360" s="9"/>
      <c r="F360" s="9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true" outlineLevel="0" collapsed="false">
      <c r="A361" s="9"/>
      <c r="B361" s="9"/>
      <c r="C361" s="9"/>
      <c r="D361" s="9"/>
      <c r="E361" s="9"/>
      <c r="F361" s="9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true" outlineLevel="0" collapsed="false">
      <c r="A362" s="9"/>
      <c r="B362" s="9"/>
      <c r="C362" s="9"/>
      <c r="D362" s="9"/>
      <c r="E362" s="9"/>
      <c r="F362" s="9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true" outlineLevel="0" collapsed="false">
      <c r="A363" s="9"/>
      <c r="B363" s="9"/>
      <c r="C363" s="9"/>
      <c r="D363" s="9"/>
      <c r="E363" s="9"/>
      <c r="F363" s="9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true" outlineLevel="0" collapsed="false">
      <c r="A364" s="9"/>
      <c r="B364" s="9"/>
      <c r="C364" s="9"/>
      <c r="D364" s="9"/>
      <c r="E364" s="9"/>
      <c r="F364" s="9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true" outlineLevel="0" collapsed="false">
      <c r="A365" s="9"/>
      <c r="B365" s="9"/>
      <c r="C365" s="9"/>
      <c r="D365" s="9"/>
      <c r="E365" s="9"/>
      <c r="F365" s="9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true" outlineLevel="0" collapsed="false">
      <c r="A366" s="9"/>
      <c r="B366" s="9"/>
      <c r="C366" s="9"/>
      <c r="D366" s="9"/>
      <c r="E366" s="9"/>
      <c r="F366" s="9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true" outlineLevel="0" collapsed="false">
      <c r="A367" s="9"/>
      <c r="B367" s="9"/>
      <c r="C367" s="9"/>
      <c r="D367" s="9"/>
      <c r="E367" s="9"/>
      <c r="F367" s="9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true" outlineLevel="0" collapsed="false">
      <c r="A368" s="9"/>
      <c r="B368" s="9"/>
      <c r="C368" s="9"/>
      <c r="D368" s="9"/>
      <c r="E368" s="9"/>
      <c r="F368" s="9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true" outlineLevel="0" collapsed="false">
      <c r="A369" s="9"/>
      <c r="B369" s="9"/>
      <c r="C369" s="9"/>
      <c r="D369" s="9"/>
      <c r="E369" s="9"/>
      <c r="F369" s="9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true" outlineLevel="0" collapsed="false">
      <c r="A370" s="9"/>
      <c r="B370" s="9"/>
      <c r="C370" s="9"/>
      <c r="D370" s="9"/>
      <c r="E370" s="9"/>
      <c r="F370" s="9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true" outlineLevel="0" collapsed="false">
      <c r="A371" s="9"/>
      <c r="B371" s="9"/>
      <c r="C371" s="9"/>
      <c r="D371" s="9"/>
      <c r="E371" s="9"/>
      <c r="F371" s="9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true" outlineLevel="0" collapsed="false">
      <c r="A372" s="9"/>
      <c r="B372" s="9"/>
      <c r="C372" s="9"/>
      <c r="D372" s="9"/>
      <c r="E372" s="9"/>
      <c r="F372" s="9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true" outlineLevel="0" collapsed="false">
      <c r="A373" s="9"/>
      <c r="B373" s="9"/>
      <c r="C373" s="9"/>
      <c r="D373" s="9"/>
      <c r="E373" s="9"/>
      <c r="F373" s="9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true" outlineLevel="0" collapsed="false">
      <c r="A374" s="9"/>
      <c r="B374" s="9"/>
      <c r="C374" s="9"/>
      <c r="D374" s="9"/>
      <c r="E374" s="9"/>
      <c r="F374" s="9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true" outlineLevel="0" collapsed="false">
      <c r="A375" s="9"/>
      <c r="B375" s="9"/>
      <c r="C375" s="9"/>
      <c r="D375" s="9"/>
      <c r="E375" s="9"/>
      <c r="F375" s="9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true" outlineLevel="0" collapsed="false">
      <c r="A376" s="9"/>
      <c r="B376" s="9"/>
      <c r="C376" s="9"/>
      <c r="D376" s="9"/>
      <c r="E376" s="9"/>
      <c r="F376" s="9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true" outlineLevel="0" collapsed="false">
      <c r="A377" s="9"/>
      <c r="B377" s="9"/>
      <c r="C377" s="9"/>
      <c r="D377" s="9"/>
      <c r="E377" s="9"/>
      <c r="F377" s="9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true" outlineLevel="0" collapsed="false">
      <c r="A378" s="9"/>
      <c r="B378" s="9"/>
      <c r="C378" s="9"/>
      <c r="D378" s="9"/>
      <c r="E378" s="9"/>
      <c r="F378" s="9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true" outlineLevel="0" collapsed="false">
      <c r="A379" s="9"/>
      <c r="B379" s="9"/>
      <c r="C379" s="9"/>
      <c r="D379" s="9"/>
      <c r="E379" s="9"/>
      <c r="F379" s="9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true" outlineLevel="0" collapsed="false">
      <c r="A380" s="9"/>
      <c r="B380" s="9"/>
      <c r="C380" s="9"/>
      <c r="D380" s="9"/>
      <c r="E380" s="9"/>
      <c r="F380" s="9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true" outlineLevel="0" collapsed="false">
      <c r="A381" s="9"/>
      <c r="B381" s="9"/>
      <c r="C381" s="9"/>
      <c r="D381" s="9"/>
      <c r="E381" s="9"/>
      <c r="F381" s="9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true" outlineLevel="0" collapsed="false">
      <c r="A382" s="9"/>
      <c r="B382" s="9"/>
      <c r="C382" s="9"/>
      <c r="D382" s="9"/>
      <c r="E382" s="9"/>
      <c r="F382" s="9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true" outlineLevel="0" collapsed="false">
      <c r="A383" s="9"/>
      <c r="B383" s="9"/>
      <c r="C383" s="9"/>
      <c r="D383" s="9"/>
      <c r="E383" s="9"/>
      <c r="F383" s="9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true" outlineLevel="0" collapsed="false">
      <c r="A384" s="9"/>
      <c r="B384" s="9"/>
      <c r="C384" s="9"/>
      <c r="D384" s="9"/>
      <c r="E384" s="9"/>
      <c r="F384" s="9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true" outlineLevel="0" collapsed="false">
      <c r="A385" s="9"/>
      <c r="B385" s="9"/>
      <c r="C385" s="9"/>
      <c r="D385" s="9"/>
      <c r="E385" s="9"/>
      <c r="F385" s="9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true" outlineLevel="0" collapsed="false">
      <c r="A386" s="9"/>
      <c r="B386" s="9"/>
      <c r="C386" s="9"/>
      <c r="D386" s="9"/>
      <c r="E386" s="9"/>
      <c r="F386" s="9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true" outlineLevel="0" collapsed="false">
      <c r="A387" s="9"/>
      <c r="B387" s="9"/>
      <c r="C387" s="9"/>
      <c r="D387" s="9"/>
      <c r="E387" s="9"/>
      <c r="F387" s="9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true" outlineLevel="0" collapsed="false">
      <c r="A388" s="9"/>
      <c r="B388" s="9"/>
      <c r="C388" s="9"/>
      <c r="D388" s="9"/>
      <c r="E388" s="9"/>
      <c r="F388" s="9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true" outlineLevel="0" collapsed="false">
      <c r="A389" s="9"/>
      <c r="B389" s="9"/>
      <c r="C389" s="9"/>
      <c r="D389" s="9"/>
      <c r="E389" s="9"/>
      <c r="F389" s="9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true" outlineLevel="0" collapsed="false">
      <c r="A390" s="9"/>
      <c r="B390" s="9"/>
      <c r="C390" s="9"/>
      <c r="D390" s="9"/>
      <c r="E390" s="9"/>
      <c r="F390" s="9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true" outlineLevel="0" collapsed="false">
      <c r="A391" s="9"/>
      <c r="B391" s="9"/>
      <c r="C391" s="9"/>
      <c r="D391" s="9"/>
      <c r="E391" s="9"/>
      <c r="F391" s="9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true" outlineLevel="0" collapsed="false">
      <c r="A392" s="9"/>
      <c r="B392" s="9"/>
      <c r="C392" s="9"/>
      <c r="D392" s="9"/>
      <c r="E392" s="9"/>
      <c r="F392" s="9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true" outlineLevel="0" collapsed="false">
      <c r="A393" s="9"/>
      <c r="B393" s="9"/>
      <c r="C393" s="9"/>
      <c r="D393" s="9"/>
      <c r="E393" s="9"/>
      <c r="F393" s="9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true" outlineLevel="0" collapsed="false">
      <c r="A394" s="9"/>
      <c r="B394" s="9"/>
      <c r="C394" s="9"/>
      <c r="D394" s="9"/>
      <c r="E394" s="9"/>
      <c r="F394" s="9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true" outlineLevel="0" collapsed="false">
      <c r="A395" s="9"/>
      <c r="B395" s="9"/>
      <c r="C395" s="9"/>
      <c r="D395" s="9"/>
      <c r="E395" s="9"/>
      <c r="F395" s="9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true" outlineLevel="0" collapsed="false">
      <c r="A396" s="9"/>
      <c r="B396" s="9"/>
      <c r="C396" s="9"/>
      <c r="D396" s="9"/>
      <c r="E396" s="9"/>
      <c r="F396" s="9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true" outlineLevel="0" collapsed="false">
      <c r="A397" s="9"/>
      <c r="B397" s="9"/>
      <c r="C397" s="9"/>
      <c r="D397" s="9"/>
      <c r="E397" s="9"/>
      <c r="F397" s="9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true" outlineLevel="0" collapsed="false">
      <c r="A398" s="9"/>
      <c r="B398" s="9"/>
      <c r="C398" s="9"/>
      <c r="D398" s="9"/>
      <c r="E398" s="9"/>
      <c r="F398" s="9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true" outlineLevel="0" collapsed="false">
      <c r="A399" s="9"/>
      <c r="B399" s="9"/>
      <c r="C399" s="9"/>
      <c r="D399" s="9"/>
      <c r="E399" s="9"/>
      <c r="F399" s="9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true" outlineLevel="0" collapsed="false">
      <c r="A400" s="9"/>
      <c r="B400" s="9"/>
      <c r="C400" s="9"/>
      <c r="D400" s="9"/>
      <c r="E400" s="9"/>
      <c r="F400" s="9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true" outlineLevel="0" collapsed="false">
      <c r="A401" s="9"/>
      <c r="B401" s="9"/>
      <c r="C401" s="9"/>
      <c r="D401" s="9"/>
      <c r="E401" s="9"/>
      <c r="F401" s="9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true" outlineLevel="0" collapsed="false">
      <c r="A402" s="9"/>
      <c r="B402" s="9"/>
      <c r="C402" s="9"/>
      <c r="D402" s="9"/>
      <c r="E402" s="9"/>
      <c r="F402" s="9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true" outlineLevel="0" collapsed="false">
      <c r="A403" s="9"/>
      <c r="B403" s="9"/>
      <c r="C403" s="9"/>
      <c r="D403" s="9"/>
      <c r="E403" s="9"/>
      <c r="F403" s="9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true" outlineLevel="0" collapsed="false">
      <c r="A404" s="9"/>
      <c r="B404" s="9"/>
      <c r="C404" s="9"/>
      <c r="D404" s="9"/>
      <c r="E404" s="9"/>
      <c r="F404" s="9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true" outlineLevel="0" collapsed="false">
      <c r="A405" s="9"/>
      <c r="B405" s="9"/>
      <c r="C405" s="9"/>
      <c r="D405" s="9"/>
      <c r="E405" s="9"/>
      <c r="F405" s="9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true" outlineLevel="0" collapsed="false">
      <c r="A406" s="9"/>
      <c r="B406" s="9"/>
      <c r="C406" s="9"/>
      <c r="D406" s="9"/>
      <c r="E406" s="9"/>
      <c r="F406" s="9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true" outlineLevel="0" collapsed="false">
      <c r="A407" s="9"/>
      <c r="B407" s="9"/>
      <c r="C407" s="9"/>
      <c r="D407" s="9"/>
      <c r="E407" s="9"/>
      <c r="F407" s="9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true" outlineLevel="0" collapsed="false">
      <c r="A408" s="9"/>
      <c r="B408" s="9"/>
      <c r="C408" s="9"/>
      <c r="D408" s="9"/>
      <c r="E408" s="9"/>
      <c r="F408" s="9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true" outlineLevel="0" collapsed="false">
      <c r="A409" s="9"/>
      <c r="B409" s="9"/>
      <c r="C409" s="9"/>
      <c r="D409" s="9"/>
      <c r="E409" s="9"/>
      <c r="F409" s="9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true" outlineLevel="0" collapsed="false">
      <c r="A410" s="9"/>
      <c r="B410" s="9"/>
      <c r="C410" s="9"/>
      <c r="D410" s="9"/>
      <c r="E410" s="9"/>
      <c r="F410" s="9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true" outlineLevel="0" collapsed="false">
      <c r="A411" s="9"/>
      <c r="B411" s="9"/>
      <c r="C411" s="9"/>
      <c r="D411" s="9"/>
      <c r="E411" s="9"/>
      <c r="F411" s="9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true" outlineLevel="0" collapsed="false">
      <c r="A412" s="9"/>
      <c r="B412" s="9"/>
      <c r="C412" s="9"/>
      <c r="D412" s="9"/>
      <c r="E412" s="9"/>
      <c r="F412" s="9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true" outlineLevel="0" collapsed="false">
      <c r="A413" s="9"/>
      <c r="B413" s="9"/>
      <c r="C413" s="9"/>
      <c r="D413" s="9"/>
      <c r="E413" s="9"/>
      <c r="F413" s="9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true" outlineLevel="0" collapsed="false">
      <c r="A414" s="9"/>
      <c r="B414" s="9"/>
      <c r="C414" s="9"/>
      <c r="D414" s="9"/>
      <c r="E414" s="9"/>
      <c r="F414" s="9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true" outlineLevel="0" collapsed="false">
      <c r="A415" s="9"/>
      <c r="B415" s="9"/>
      <c r="C415" s="9"/>
      <c r="D415" s="9"/>
      <c r="E415" s="9"/>
      <c r="F415" s="9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true" outlineLevel="0" collapsed="false">
      <c r="A416" s="9"/>
      <c r="B416" s="9"/>
      <c r="C416" s="9"/>
      <c r="D416" s="9"/>
      <c r="E416" s="9"/>
      <c r="F416" s="9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true" outlineLevel="0" collapsed="false">
      <c r="A417" s="9"/>
      <c r="B417" s="9"/>
      <c r="C417" s="9"/>
      <c r="D417" s="9"/>
      <c r="E417" s="9"/>
      <c r="F417" s="9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true" outlineLevel="0" collapsed="false">
      <c r="A418" s="9"/>
      <c r="B418" s="9"/>
      <c r="C418" s="9"/>
      <c r="D418" s="9"/>
      <c r="E418" s="9"/>
      <c r="F418" s="9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true" outlineLevel="0" collapsed="false">
      <c r="A419" s="9"/>
      <c r="B419" s="9"/>
      <c r="C419" s="9"/>
      <c r="D419" s="9"/>
      <c r="E419" s="9"/>
      <c r="F419" s="9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true" outlineLevel="0" collapsed="false">
      <c r="A420" s="9"/>
      <c r="B420" s="9"/>
      <c r="C420" s="9"/>
      <c r="D420" s="9"/>
      <c r="E420" s="9"/>
      <c r="F420" s="9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true" outlineLevel="0" collapsed="false">
      <c r="A421" s="9"/>
      <c r="B421" s="9"/>
      <c r="C421" s="9"/>
      <c r="D421" s="9"/>
      <c r="E421" s="9"/>
      <c r="F421" s="9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true" outlineLevel="0" collapsed="false">
      <c r="A422" s="9"/>
      <c r="B422" s="9"/>
      <c r="C422" s="9"/>
      <c r="D422" s="9"/>
      <c r="E422" s="9"/>
      <c r="F422" s="9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true" outlineLevel="0" collapsed="false">
      <c r="A423" s="9"/>
      <c r="B423" s="9"/>
      <c r="C423" s="9"/>
      <c r="D423" s="9"/>
      <c r="E423" s="9"/>
      <c r="F423" s="9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true" outlineLevel="0" collapsed="false">
      <c r="A424" s="9"/>
      <c r="B424" s="9"/>
      <c r="C424" s="9"/>
      <c r="D424" s="9"/>
      <c r="E424" s="9"/>
      <c r="F424" s="9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true" outlineLevel="0" collapsed="false">
      <c r="A425" s="9"/>
      <c r="B425" s="9"/>
      <c r="C425" s="9"/>
      <c r="D425" s="9"/>
      <c r="E425" s="9"/>
      <c r="F425" s="9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true" outlineLevel="0" collapsed="false">
      <c r="A426" s="9"/>
      <c r="B426" s="9"/>
      <c r="C426" s="9"/>
      <c r="D426" s="9"/>
      <c r="E426" s="9"/>
      <c r="F426" s="9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true" outlineLevel="0" collapsed="false">
      <c r="A427" s="9"/>
      <c r="B427" s="9"/>
      <c r="C427" s="9"/>
      <c r="D427" s="9"/>
      <c r="E427" s="9"/>
      <c r="F427" s="9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true" outlineLevel="0" collapsed="false">
      <c r="A428" s="9"/>
      <c r="B428" s="9"/>
      <c r="C428" s="9"/>
      <c r="D428" s="9"/>
      <c r="E428" s="9"/>
      <c r="F428" s="9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true" outlineLevel="0" collapsed="false">
      <c r="A429" s="9"/>
      <c r="B429" s="9"/>
      <c r="C429" s="9"/>
      <c r="D429" s="9"/>
      <c r="E429" s="9"/>
      <c r="F429" s="9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true" outlineLevel="0" collapsed="false">
      <c r="A430" s="9"/>
      <c r="B430" s="9"/>
      <c r="C430" s="9"/>
      <c r="D430" s="9"/>
      <c r="E430" s="9"/>
      <c r="F430" s="9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true" outlineLevel="0" collapsed="false">
      <c r="A431" s="9"/>
      <c r="B431" s="9"/>
      <c r="C431" s="9"/>
      <c r="D431" s="9"/>
      <c r="E431" s="9"/>
      <c r="F431" s="9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true" outlineLevel="0" collapsed="false">
      <c r="A432" s="9"/>
      <c r="B432" s="9"/>
      <c r="C432" s="9"/>
      <c r="D432" s="9"/>
      <c r="E432" s="9"/>
      <c r="F432" s="9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true" outlineLevel="0" collapsed="false">
      <c r="A433" s="9"/>
      <c r="B433" s="9"/>
      <c r="C433" s="9"/>
      <c r="D433" s="9"/>
      <c r="E433" s="9"/>
      <c r="F433" s="9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true" outlineLevel="0" collapsed="false">
      <c r="A434" s="9"/>
      <c r="B434" s="9"/>
      <c r="C434" s="9"/>
      <c r="D434" s="9"/>
      <c r="E434" s="9"/>
      <c r="F434" s="9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true" outlineLevel="0" collapsed="false">
      <c r="A435" s="9"/>
      <c r="B435" s="9"/>
      <c r="C435" s="9"/>
      <c r="D435" s="9"/>
      <c r="E435" s="9"/>
      <c r="F435" s="9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true" outlineLevel="0" collapsed="false">
      <c r="A436" s="9"/>
      <c r="B436" s="9"/>
      <c r="C436" s="9"/>
      <c r="D436" s="9"/>
      <c r="E436" s="9"/>
      <c r="F436" s="9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true" outlineLevel="0" collapsed="false">
      <c r="A437" s="9"/>
      <c r="B437" s="9"/>
      <c r="C437" s="9"/>
      <c r="D437" s="9"/>
      <c r="E437" s="9"/>
      <c r="F437" s="9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true" outlineLevel="0" collapsed="false">
      <c r="A438" s="9"/>
      <c r="B438" s="9"/>
      <c r="C438" s="9"/>
      <c r="D438" s="9"/>
      <c r="E438" s="9"/>
      <c r="F438" s="9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true" outlineLevel="0" collapsed="false">
      <c r="A439" s="9"/>
      <c r="B439" s="9"/>
      <c r="C439" s="9"/>
      <c r="D439" s="9"/>
      <c r="E439" s="9"/>
      <c r="F439" s="9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true" outlineLevel="0" collapsed="false">
      <c r="A440" s="9"/>
      <c r="B440" s="9"/>
      <c r="C440" s="9"/>
      <c r="D440" s="9"/>
      <c r="E440" s="9"/>
      <c r="F440" s="9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true" outlineLevel="0" collapsed="false">
      <c r="A441" s="9"/>
      <c r="B441" s="9"/>
      <c r="C441" s="9"/>
      <c r="D441" s="9"/>
      <c r="E441" s="9"/>
      <c r="F441" s="9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true" outlineLevel="0" collapsed="false">
      <c r="A442" s="9"/>
      <c r="B442" s="9"/>
      <c r="C442" s="9"/>
      <c r="D442" s="9"/>
      <c r="E442" s="9"/>
      <c r="F442" s="9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true" outlineLevel="0" collapsed="false">
      <c r="A443" s="9"/>
      <c r="B443" s="9"/>
      <c r="C443" s="9"/>
      <c r="D443" s="9"/>
      <c r="E443" s="9"/>
      <c r="F443" s="9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true" outlineLevel="0" collapsed="false">
      <c r="A444" s="9"/>
      <c r="B444" s="9"/>
      <c r="C444" s="9"/>
      <c r="D444" s="9"/>
      <c r="E444" s="9"/>
      <c r="F444" s="9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true" outlineLevel="0" collapsed="false">
      <c r="A445" s="9"/>
      <c r="B445" s="9"/>
      <c r="C445" s="9"/>
      <c r="D445" s="9"/>
      <c r="E445" s="9"/>
      <c r="F445" s="9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true" outlineLevel="0" collapsed="false">
      <c r="A446" s="9"/>
      <c r="B446" s="9"/>
      <c r="C446" s="9"/>
      <c r="D446" s="9"/>
      <c r="E446" s="9"/>
      <c r="F446" s="9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true" outlineLevel="0" collapsed="false">
      <c r="A447" s="9"/>
      <c r="B447" s="9"/>
      <c r="C447" s="9"/>
      <c r="D447" s="9"/>
      <c r="E447" s="9"/>
      <c r="F447" s="9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true" outlineLevel="0" collapsed="false">
      <c r="A448" s="9"/>
      <c r="B448" s="9"/>
      <c r="C448" s="9"/>
      <c r="D448" s="9"/>
      <c r="E448" s="9"/>
      <c r="F448" s="9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true" outlineLevel="0" collapsed="false">
      <c r="A449" s="9"/>
      <c r="B449" s="9"/>
      <c r="C449" s="9"/>
      <c r="D449" s="9"/>
      <c r="E449" s="9"/>
      <c r="F449" s="9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true" outlineLevel="0" collapsed="false">
      <c r="A450" s="9"/>
      <c r="B450" s="9"/>
      <c r="C450" s="9"/>
      <c r="D450" s="9"/>
      <c r="E450" s="9"/>
      <c r="F450" s="9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true" outlineLevel="0" collapsed="false">
      <c r="A451" s="9"/>
      <c r="B451" s="9"/>
      <c r="C451" s="9"/>
      <c r="D451" s="9"/>
      <c r="E451" s="9"/>
      <c r="F451" s="9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true" outlineLevel="0" collapsed="false">
      <c r="A452" s="9"/>
      <c r="B452" s="9"/>
      <c r="C452" s="9"/>
      <c r="D452" s="9"/>
      <c r="E452" s="9"/>
      <c r="F452" s="9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true" outlineLevel="0" collapsed="false">
      <c r="A453" s="9"/>
      <c r="B453" s="9"/>
      <c r="C453" s="9"/>
      <c r="D453" s="9"/>
      <c r="E453" s="9"/>
      <c r="F453" s="9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true" outlineLevel="0" collapsed="false">
      <c r="A454" s="9"/>
      <c r="B454" s="9"/>
      <c r="C454" s="9"/>
      <c r="D454" s="9"/>
      <c r="E454" s="9"/>
      <c r="F454" s="9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true" outlineLevel="0" collapsed="false">
      <c r="A455" s="9"/>
      <c r="B455" s="9"/>
      <c r="C455" s="9"/>
      <c r="D455" s="9"/>
      <c r="E455" s="9"/>
      <c r="F455" s="9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true" outlineLevel="0" collapsed="false">
      <c r="A456" s="9"/>
      <c r="B456" s="9"/>
      <c r="C456" s="9"/>
      <c r="D456" s="9"/>
      <c r="E456" s="9"/>
      <c r="F456" s="9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true" outlineLevel="0" collapsed="false">
      <c r="A457" s="9"/>
      <c r="B457" s="9"/>
      <c r="C457" s="9"/>
      <c r="D457" s="9"/>
      <c r="E457" s="9"/>
      <c r="F457" s="9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true" outlineLevel="0" collapsed="false">
      <c r="A458" s="9"/>
      <c r="B458" s="9"/>
      <c r="C458" s="9"/>
      <c r="D458" s="9"/>
      <c r="E458" s="9"/>
      <c r="F458" s="9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true" outlineLevel="0" collapsed="false">
      <c r="A459" s="9"/>
      <c r="B459" s="9"/>
      <c r="C459" s="9"/>
      <c r="D459" s="9"/>
      <c r="E459" s="9"/>
      <c r="F459" s="9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true" outlineLevel="0" collapsed="false">
      <c r="A460" s="9"/>
      <c r="B460" s="9"/>
      <c r="C460" s="9"/>
      <c r="D460" s="9"/>
      <c r="E460" s="9"/>
      <c r="F460" s="9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true" outlineLevel="0" collapsed="false">
      <c r="A461" s="9"/>
      <c r="B461" s="9"/>
      <c r="C461" s="9"/>
      <c r="D461" s="9"/>
      <c r="E461" s="9"/>
      <c r="F461" s="9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true" outlineLevel="0" collapsed="false">
      <c r="A462" s="9"/>
      <c r="B462" s="9"/>
      <c r="C462" s="9"/>
      <c r="D462" s="9"/>
      <c r="E462" s="9"/>
      <c r="F462" s="9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true" outlineLevel="0" collapsed="false">
      <c r="A463" s="9"/>
      <c r="B463" s="9"/>
      <c r="C463" s="9"/>
      <c r="D463" s="9"/>
      <c r="E463" s="9"/>
      <c r="F463" s="9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true" outlineLevel="0" collapsed="false">
      <c r="A464" s="9"/>
      <c r="B464" s="9"/>
      <c r="C464" s="9"/>
      <c r="D464" s="9"/>
      <c r="E464" s="9"/>
      <c r="F464" s="9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true" outlineLevel="0" collapsed="false">
      <c r="A465" s="9"/>
      <c r="B465" s="9"/>
      <c r="C465" s="9"/>
      <c r="D465" s="9"/>
      <c r="E465" s="9"/>
      <c r="F465" s="9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true" outlineLevel="0" collapsed="false">
      <c r="A466" s="9"/>
      <c r="B466" s="9"/>
      <c r="C466" s="9"/>
      <c r="D466" s="9"/>
      <c r="E466" s="9"/>
      <c r="F466" s="9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true" outlineLevel="0" collapsed="false">
      <c r="A467" s="9"/>
      <c r="B467" s="9"/>
      <c r="C467" s="9"/>
      <c r="D467" s="9"/>
      <c r="E467" s="9"/>
      <c r="F467" s="9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true" outlineLevel="0" collapsed="false">
      <c r="A468" s="9"/>
      <c r="B468" s="9"/>
      <c r="C468" s="9"/>
      <c r="D468" s="9"/>
      <c r="E468" s="9"/>
      <c r="F468" s="9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true" outlineLevel="0" collapsed="false">
      <c r="A469" s="9"/>
      <c r="B469" s="9"/>
      <c r="C469" s="9"/>
      <c r="D469" s="9"/>
      <c r="E469" s="9"/>
      <c r="F469" s="9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true" outlineLevel="0" collapsed="false">
      <c r="A470" s="9"/>
      <c r="B470" s="9"/>
      <c r="C470" s="9"/>
      <c r="D470" s="9"/>
      <c r="E470" s="9"/>
      <c r="F470" s="9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true" outlineLevel="0" collapsed="false">
      <c r="A471" s="9"/>
      <c r="B471" s="9"/>
      <c r="C471" s="9"/>
      <c r="D471" s="9"/>
      <c r="E471" s="9"/>
      <c r="F471" s="9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true" outlineLevel="0" collapsed="false">
      <c r="A472" s="9"/>
      <c r="B472" s="9"/>
      <c r="C472" s="9"/>
      <c r="D472" s="9"/>
      <c r="E472" s="9"/>
      <c r="F472" s="9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true" outlineLevel="0" collapsed="false">
      <c r="A473" s="9"/>
      <c r="B473" s="9"/>
      <c r="C473" s="9"/>
      <c r="D473" s="9"/>
      <c r="E473" s="9"/>
      <c r="F473" s="9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true" outlineLevel="0" collapsed="false">
      <c r="A474" s="9"/>
      <c r="B474" s="9"/>
      <c r="C474" s="9"/>
      <c r="D474" s="9"/>
      <c r="E474" s="9"/>
      <c r="F474" s="9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true" outlineLevel="0" collapsed="false">
      <c r="A475" s="9"/>
      <c r="B475" s="9"/>
      <c r="C475" s="9"/>
      <c r="D475" s="9"/>
      <c r="E475" s="9"/>
      <c r="F475" s="9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true" outlineLevel="0" collapsed="false">
      <c r="A476" s="9"/>
      <c r="B476" s="9"/>
      <c r="C476" s="9"/>
      <c r="D476" s="9"/>
      <c r="E476" s="9"/>
      <c r="F476" s="9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true" outlineLevel="0" collapsed="false">
      <c r="A477" s="9"/>
      <c r="B477" s="9"/>
      <c r="C477" s="9"/>
      <c r="D477" s="9"/>
      <c r="E477" s="9"/>
      <c r="F477" s="9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true" outlineLevel="0" collapsed="false">
      <c r="A478" s="9"/>
      <c r="B478" s="9"/>
      <c r="C478" s="9"/>
      <c r="D478" s="9"/>
      <c r="E478" s="9"/>
      <c r="F478" s="9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true" outlineLevel="0" collapsed="false">
      <c r="A479" s="9"/>
      <c r="B479" s="9"/>
      <c r="C479" s="9"/>
      <c r="D479" s="9"/>
      <c r="E479" s="9"/>
      <c r="F479" s="9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true" outlineLevel="0" collapsed="false">
      <c r="A480" s="9"/>
      <c r="B480" s="9"/>
      <c r="C480" s="9"/>
      <c r="D480" s="9"/>
      <c r="E480" s="9"/>
      <c r="F480" s="9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true" outlineLevel="0" collapsed="false">
      <c r="A481" s="9"/>
      <c r="B481" s="9"/>
      <c r="C481" s="9"/>
      <c r="D481" s="9"/>
      <c r="E481" s="9"/>
      <c r="F481" s="9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true" outlineLevel="0" collapsed="false">
      <c r="A482" s="9"/>
      <c r="B482" s="9"/>
      <c r="C482" s="9"/>
      <c r="D482" s="9"/>
      <c r="E482" s="9"/>
      <c r="F482" s="9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true" outlineLevel="0" collapsed="false">
      <c r="A483" s="9"/>
      <c r="B483" s="9"/>
      <c r="C483" s="9"/>
      <c r="D483" s="9"/>
      <c r="E483" s="9"/>
      <c r="F483" s="9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true" outlineLevel="0" collapsed="false">
      <c r="A484" s="9"/>
      <c r="B484" s="9"/>
      <c r="C484" s="9"/>
      <c r="D484" s="9"/>
      <c r="E484" s="9"/>
      <c r="F484" s="9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true" outlineLevel="0" collapsed="false">
      <c r="A485" s="9"/>
      <c r="B485" s="9"/>
      <c r="C485" s="9"/>
      <c r="D485" s="9"/>
      <c r="E485" s="9"/>
      <c r="F485" s="9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true" outlineLevel="0" collapsed="false">
      <c r="A486" s="9"/>
      <c r="B486" s="9"/>
      <c r="C486" s="9"/>
      <c r="D486" s="9"/>
      <c r="E486" s="9"/>
      <c r="F486" s="9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true" outlineLevel="0" collapsed="false">
      <c r="A487" s="9"/>
      <c r="B487" s="9"/>
      <c r="C487" s="9"/>
      <c r="D487" s="9"/>
      <c r="E487" s="9"/>
      <c r="F487" s="9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true" outlineLevel="0" collapsed="false">
      <c r="A488" s="9"/>
      <c r="B488" s="9"/>
      <c r="C488" s="9"/>
      <c r="D488" s="9"/>
      <c r="E488" s="9"/>
      <c r="F488" s="9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true" outlineLevel="0" collapsed="false">
      <c r="A489" s="9"/>
      <c r="B489" s="9"/>
      <c r="C489" s="9"/>
      <c r="D489" s="9"/>
      <c r="E489" s="9"/>
      <c r="F489" s="9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true" outlineLevel="0" collapsed="false">
      <c r="A490" s="9"/>
      <c r="B490" s="9"/>
      <c r="C490" s="9"/>
      <c r="D490" s="9"/>
      <c r="E490" s="9"/>
      <c r="F490" s="9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true" outlineLevel="0" collapsed="false">
      <c r="A491" s="9"/>
      <c r="B491" s="9"/>
      <c r="C491" s="9"/>
      <c r="D491" s="9"/>
      <c r="E491" s="9"/>
      <c r="F491" s="9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true" outlineLevel="0" collapsed="false">
      <c r="A492" s="9"/>
      <c r="B492" s="9"/>
      <c r="C492" s="9"/>
      <c r="D492" s="9"/>
      <c r="E492" s="9"/>
      <c r="F492" s="9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true" outlineLevel="0" collapsed="false">
      <c r="A493" s="9"/>
      <c r="B493" s="9"/>
      <c r="C493" s="9"/>
      <c r="D493" s="9"/>
      <c r="E493" s="9"/>
      <c r="F493" s="9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true" outlineLevel="0" collapsed="false">
      <c r="A494" s="9"/>
      <c r="B494" s="9"/>
      <c r="C494" s="9"/>
      <c r="D494" s="9"/>
      <c r="E494" s="9"/>
      <c r="F494" s="9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true" outlineLevel="0" collapsed="false">
      <c r="A495" s="9"/>
      <c r="B495" s="9"/>
      <c r="C495" s="9"/>
      <c r="D495" s="9"/>
      <c r="E495" s="9"/>
      <c r="F495" s="9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true" outlineLevel="0" collapsed="false">
      <c r="A496" s="9"/>
      <c r="B496" s="9"/>
      <c r="C496" s="9"/>
      <c r="D496" s="9"/>
      <c r="E496" s="9"/>
      <c r="F496" s="9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true" outlineLevel="0" collapsed="false">
      <c r="A497" s="9"/>
      <c r="B497" s="9"/>
      <c r="C497" s="9"/>
      <c r="D497" s="9"/>
      <c r="E497" s="9"/>
      <c r="F497" s="9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true" outlineLevel="0" collapsed="false">
      <c r="A498" s="9"/>
      <c r="B498" s="9"/>
      <c r="C498" s="9"/>
      <c r="D498" s="9"/>
      <c r="E498" s="9"/>
      <c r="F498" s="9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true" outlineLevel="0" collapsed="false">
      <c r="A499" s="9"/>
      <c r="B499" s="9"/>
      <c r="C499" s="9"/>
      <c r="D499" s="9"/>
      <c r="E499" s="9"/>
      <c r="F499" s="9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true" outlineLevel="0" collapsed="false">
      <c r="A500" s="9"/>
      <c r="B500" s="9"/>
      <c r="C500" s="9"/>
      <c r="D500" s="9"/>
      <c r="E500" s="9"/>
      <c r="F500" s="9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true" outlineLevel="0" collapsed="false">
      <c r="A501" s="9"/>
      <c r="B501" s="9"/>
      <c r="C501" s="9"/>
      <c r="D501" s="9"/>
      <c r="E501" s="9"/>
      <c r="F501" s="9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true" outlineLevel="0" collapsed="false">
      <c r="A502" s="9"/>
      <c r="B502" s="9"/>
      <c r="C502" s="9"/>
      <c r="D502" s="9"/>
      <c r="E502" s="9"/>
      <c r="F502" s="9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true" outlineLevel="0" collapsed="false">
      <c r="A503" s="9"/>
      <c r="B503" s="9"/>
      <c r="C503" s="9"/>
      <c r="D503" s="9"/>
      <c r="E503" s="9"/>
      <c r="F503" s="9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true" outlineLevel="0" collapsed="false">
      <c r="A504" s="9"/>
      <c r="B504" s="9"/>
      <c r="C504" s="9"/>
      <c r="D504" s="9"/>
      <c r="E504" s="9"/>
      <c r="F504" s="9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true" outlineLevel="0" collapsed="false">
      <c r="A505" s="9"/>
      <c r="B505" s="9"/>
      <c r="C505" s="9"/>
      <c r="D505" s="9"/>
      <c r="E505" s="9"/>
      <c r="F505" s="9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true" outlineLevel="0" collapsed="false">
      <c r="A506" s="9"/>
      <c r="B506" s="9"/>
      <c r="C506" s="9"/>
      <c r="D506" s="9"/>
      <c r="E506" s="9"/>
      <c r="F506" s="9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true" outlineLevel="0" collapsed="false">
      <c r="A507" s="9"/>
      <c r="B507" s="9"/>
      <c r="C507" s="9"/>
      <c r="D507" s="9"/>
      <c r="E507" s="9"/>
      <c r="F507" s="9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true" outlineLevel="0" collapsed="false">
      <c r="A508" s="9"/>
      <c r="B508" s="9"/>
      <c r="C508" s="9"/>
      <c r="D508" s="9"/>
      <c r="E508" s="9"/>
      <c r="F508" s="9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true" outlineLevel="0" collapsed="false">
      <c r="A509" s="9"/>
      <c r="B509" s="9"/>
      <c r="C509" s="9"/>
      <c r="D509" s="9"/>
      <c r="E509" s="9"/>
      <c r="F509" s="9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true" outlineLevel="0" collapsed="false">
      <c r="A510" s="9"/>
      <c r="B510" s="9"/>
      <c r="C510" s="9"/>
      <c r="D510" s="9"/>
      <c r="E510" s="9"/>
      <c r="F510" s="9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true" outlineLevel="0" collapsed="false">
      <c r="A511" s="9"/>
      <c r="B511" s="9"/>
      <c r="C511" s="9"/>
      <c r="D511" s="9"/>
      <c r="E511" s="9"/>
      <c r="F511" s="9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true" outlineLevel="0" collapsed="false">
      <c r="A512" s="9"/>
      <c r="B512" s="9"/>
      <c r="C512" s="9"/>
      <c r="D512" s="9"/>
      <c r="E512" s="9"/>
      <c r="F512" s="9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true" outlineLevel="0" collapsed="false">
      <c r="A513" s="9"/>
      <c r="B513" s="9"/>
      <c r="C513" s="9"/>
      <c r="D513" s="9"/>
      <c r="E513" s="9"/>
      <c r="F513" s="9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true" outlineLevel="0" collapsed="false">
      <c r="A514" s="9"/>
      <c r="B514" s="9"/>
      <c r="C514" s="9"/>
      <c r="D514" s="9"/>
      <c r="E514" s="9"/>
      <c r="F514" s="9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true" outlineLevel="0" collapsed="false">
      <c r="A515" s="9"/>
      <c r="B515" s="9"/>
      <c r="C515" s="9"/>
      <c r="D515" s="9"/>
      <c r="E515" s="9"/>
      <c r="F515" s="9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true" outlineLevel="0" collapsed="false">
      <c r="A516" s="9"/>
      <c r="B516" s="9"/>
      <c r="C516" s="9"/>
      <c r="D516" s="9"/>
      <c r="E516" s="9"/>
      <c r="F516" s="9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true" outlineLevel="0" collapsed="false">
      <c r="A517" s="9"/>
      <c r="B517" s="9"/>
      <c r="C517" s="9"/>
      <c r="D517" s="9"/>
      <c r="E517" s="9"/>
      <c r="F517" s="9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true" outlineLevel="0" collapsed="false">
      <c r="A518" s="9"/>
      <c r="B518" s="9"/>
      <c r="C518" s="9"/>
      <c r="D518" s="9"/>
      <c r="E518" s="9"/>
      <c r="F518" s="9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true" outlineLevel="0" collapsed="false">
      <c r="A519" s="9"/>
      <c r="B519" s="9"/>
      <c r="C519" s="9"/>
      <c r="D519" s="9"/>
      <c r="E519" s="9"/>
      <c r="F519" s="9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true" outlineLevel="0" collapsed="false">
      <c r="A520" s="9"/>
      <c r="B520" s="9"/>
      <c r="C520" s="9"/>
      <c r="D520" s="9"/>
      <c r="E520" s="9"/>
      <c r="F520" s="9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true" outlineLevel="0" collapsed="false">
      <c r="A521" s="9"/>
      <c r="B521" s="9"/>
      <c r="C521" s="9"/>
      <c r="D521" s="9"/>
      <c r="E521" s="9"/>
      <c r="F521" s="9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true" outlineLevel="0" collapsed="false">
      <c r="A522" s="9"/>
      <c r="B522" s="9"/>
      <c r="C522" s="9"/>
      <c r="D522" s="9"/>
      <c r="E522" s="9"/>
      <c r="F522" s="9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true" outlineLevel="0" collapsed="false">
      <c r="A523" s="9"/>
      <c r="B523" s="9"/>
      <c r="C523" s="9"/>
      <c r="D523" s="9"/>
      <c r="E523" s="9"/>
      <c r="F523" s="9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true" outlineLevel="0" collapsed="false">
      <c r="A524" s="9"/>
      <c r="B524" s="9"/>
      <c r="C524" s="9"/>
      <c r="D524" s="9"/>
      <c r="E524" s="9"/>
      <c r="F524" s="9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true" outlineLevel="0" collapsed="false">
      <c r="A525" s="9"/>
      <c r="B525" s="9"/>
      <c r="C525" s="9"/>
      <c r="D525" s="9"/>
      <c r="E525" s="9"/>
      <c r="F525" s="9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true" outlineLevel="0" collapsed="false">
      <c r="A526" s="9"/>
      <c r="B526" s="9"/>
      <c r="C526" s="9"/>
      <c r="D526" s="9"/>
      <c r="E526" s="9"/>
      <c r="F526" s="9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true" outlineLevel="0" collapsed="false">
      <c r="A527" s="9"/>
      <c r="B527" s="9"/>
      <c r="C527" s="9"/>
      <c r="D527" s="9"/>
      <c r="E527" s="9"/>
      <c r="F527" s="9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true" outlineLevel="0" collapsed="false">
      <c r="A528" s="9"/>
      <c r="B528" s="9"/>
      <c r="C528" s="9"/>
      <c r="D528" s="9"/>
      <c r="E528" s="9"/>
      <c r="F528" s="9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true" outlineLevel="0" collapsed="false">
      <c r="A529" s="9"/>
      <c r="B529" s="9"/>
      <c r="C529" s="9"/>
      <c r="D529" s="9"/>
      <c r="E529" s="9"/>
      <c r="F529" s="9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true" outlineLevel="0" collapsed="false">
      <c r="A530" s="9"/>
      <c r="B530" s="9"/>
      <c r="C530" s="9"/>
      <c r="D530" s="9"/>
      <c r="E530" s="9"/>
      <c r="F530" s="9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true" outlineLevel="0" collapsed="false">
      <c r="A531" s="9"/>
      <c r="B531" s="9"/>
      <c r="C531" s="9"/>
      <c r="D531" s="9"/>
      <c r="E531" s="9"/>
      <c r="F531" s="9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true" outlineLevel="0" collapsed="false">
      <c r="A532" s="9"/>
      <c r="B532" s="9"/>
      <c r="C532" s="9"/>
      <c r="D532" s="9"/>
      <c r="E532" s="9"/>
      <c r="F532" s="9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true" outlineLevel="0" collapsed="false">
      <c r="A533" s="9"/>
      <c r="B533" s="9"/>
      <c r="C533" s="9"/>
      <c r="D533" s="9"/>
      <c r="E533" s="9"/>
      <c r="F533" s="9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true" outlineLevel="0" collapsed="false">
      <c r="A534" s="9"/>
      <c r="B534" s="9"/>
      <c r="C534" s="9"/>
      <c r="D534" s="9"/>
      <c r="E534" s="9"/>
      <c r="F534" s="9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true" outlineLevel="0" collapsed="false">
      <c r="A535" s="9"/>
      <c r="B535" s="9"/>
      <c r="C535" s="9"/>
      <c r="D535" s="9"/>
      <c r="E535" s="9"/>
      <c r="F535" s="9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true" outlineLevel="0" collapsed="false">
      <c r="A536" s="9"/>
      <c r="B536" s="9"/>
      <c r="C536" s="9"/>
      <c r="D536" s="9"/>
      <c r="E536" s="9"/>
      <c r="F536" s="9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true" outlineLevel="0" collapsed="false">
      <c r="A537" s="9"/>
      <c r="B537" s="9"/>
      <c r="C537" s="9"/>
      <c r="D537" s="9"/>
      <c r="E537" s="9"/>
      <c r="F537" s="9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true" outlineLevel="0" collapsed="false">
      <c r="A538" s="9"/>
      <c r="B538" s="9"/>
      <c r="C538" s="9"/>
      <c r="D538" s="9"/>
      <c r="E538" s="9"/>
      <c r="F538" s="9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true" outlineLevel="0" collapsed="false">
      <c r="A539" s="9"/>
      <c r="B539" s="9"/>
      <c r="C539" s="9"/>
      <c r="D539" s="9"/>
      <c r="E539" s="9"/>
      <c r="F539" s="9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true" outlineLevel="0" collapsed="false">
      <c r="A540" s="9"/>
      <c r="B540" s="9"/>
      <c r="C540" s="9"/>
      <c r="D540" s="9"/>
      <c r="E540" s="9"/>
      <c r="F540" s="9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true" outlineLevel="0" collapsed="false">
      <c r="A541" s="9"/>
      <c r="B541" s="9"/>
      <c r="C541" s="9"/>
      <c r="D541" s="9"/>
      <c r="E541" s="9"/>
      <c r="F541" s="9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true" outlineLevel="0" collapsed="false">
      <c r="A542" s="9"/>
      <c r="B542" s="9"/>
      <c r="C542" s="9"/>
      <c r="D542" s="9"/>
      <c r="E542" s="9"/>
      <c r="F542" s="9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true" outlineLevel="0" collapsed="false">
      <c r="A543" s="9"/>
      <c r="B543" s="9"/>
      <c r="C543" s="9"/>
      <c r="D543" s="9"/>
      <c r="E543" s="9"/>
      <c r="F543" s="9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true" outlineLevel="0" collapsed="false">
      <c r="A544" s="9"/>
      <c r="B544" s="9"/>
      <c r="C544" s="9"/>
      <c r="D544" s="9"/>
      <c r="E544" s="9"/>
      <c r="F544" s="9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true" outlineLevel="0" collapsed="false">
      <c r="A545" s="9"/>
      <c r="B545" s="9"/>
      <c r="C545" s="9"/>
      <c r="D545" s="9"/>
      <c r="E545" s="9"/>
      <c r="F545" s="9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true" outlineLevel="0" collapsed="false">
      <c r="A546" s="9"/>
      <c r="B546" s="9"/>
      <c r="C546" s="9"/>
      <c r="D546" s="9"/>
      <c r="E546" s="9"/>
      <c r="F546" s="9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true" outlineLevel="0" collapsed="false">
      <c r="A547" s="9"/>
      <c r="B547" s="9"/>
      <c r="C547" s="9"/>
      <c r="D547" s="9"/>
      <c r="E547" s="9"/>
      <c r="F547" s="9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true" outlineLevel="0" collapsed="false">
      <c r="A548" s="9"/>
      <c r="B548" s="9"/>
      <c r="C548" s="9"/>
      <c r="D548" s="9"/>
      <c r="E548" s="9"/>
      <c r="F548" s="9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true" outlineLevel="0" collapsed="false">
      <c r="A549" s="9"/>
      <c r="B549" s="9"/>
      <c r="C549" s="9"/>
      <c r="D549" s="9"/>
      <c r="E549" s="9"/>
      <c r="F549" s="9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true" outlineLevel="0" collapsed="false">
      <c r="A550" s="9"/>
      <c r="B550" s="9"/>
      <c r="C550" s="9"/>
      <c r="D550" s="9"/>
      <c r="E550" s="9"/>
      <c r="F550" s="9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true" outlineLevel="0" collapsed="false">
      <c r="A551" s="9"/>
      <c r="B551" s="9"/>
      <c r="C551" s="9"/>
      <c r="D551" s="9"/>
      <c r="E551" s="9"/>
      <c r="F551" s="9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true" outlineLevel="0" collapsed="false">
      <c r="A552" s="9"/>
      <c r="B552" s="9"/>
      <c r="C552" s="9"/>
      <c r="D552" s="9"/>
      <c r="E552" s="9"/>
      <c r="F552" s="9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true" outlineLevel="0" collapsed="false">
      <c r="A553" s="9"/>
      <c r="B553" s="9"/>
      <c r="C553" s="9"/>
      <c r="D553" s="9"/>
      <c r="E553" s="9"/>
      <c r="F553" s="9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true" outlineLevel="0" collapsed="false">
      <c r="A554" s="9"/>
      <c r="B554" s="9"/>
      <c r="C554" s="9"/>
      <c r="D554" s="9"/>
      <c r="E554" s="9"/>
      <c r="F554" s="9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true" outlineLevel="0" collapsed="false">
      <c r="A555" s="9"/>
      <c r="B555" s="9"/>
      <c r="C555" s="9"/>
      <c r="D555" s="9"/>
      <c r="E555" s="9"/>
      <c r="F555" s="9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true" outlineLevel="0" collapsed="false">
      <c r="A556" s="9"/>
      <c r="B556" s="9"/>
      <c r="C556" s="9"/>
      <c r="D556" s="9"/>
      <c r="E556" s="9"/>
      <c r="F556" s="9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true" outlineLevel="0" collapsed="false">
      <c r="A557" s="9"/>
      <c r="B557" s="9"/>
      <c r="C557" s="9"/>
      <c r="D557" s="9"/>
      <c r="E557" s="9"/>
      <c r="F557" s="9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true" outlineLevel="0" collapsed="false">
      <c r="A558" s="9"/>
      <c r="B558" s="9"/>
      <c r="C558" s="9"/>
      <c r="D558" s="9"/>
      <c r="E558" s="9"/>
      <c r="F558" s="9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true" outlineLevel="0" collapsed="false">
      <c r="A559" s="9"/>
      <c r="B559" s="9"/>
      <c r="C559" s="9"/>
      <c r="D559" s="9"/>
      <c r="E559" s="9"/>
      <c r="F559" s="9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true" outlineLevel="0" collapsed="false">
      <c r="A560" s="9"/>
      <c r="B560" s="9"/>
      <c r="C560" s="9"/>
      <c r="D560" s="9"/>
      <c r="E560" s="9"/>
      <c r="F560" s="9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true" outlineLevel="0" collapsed="false">
      <c r="A561" s="9"/>
      <c r="B561" s="9"/>
      <c r="C561" s="9"/>
      <c r="D561" s="9"/>
      <c r="E561" s="9"/>
      <c r="F561" s="9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true" outlineLevel="0" collapsed="false">
      <c r="A562" s="9"/>
      <c r="B562" s="9"/>
      <c r="C562" s="9"/>
      <c r="D562" s="9"/>
      <c r="E562" s="9"/>
      <c r="F562" s="9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true" outlineLevel="0" collapsed="false">
      <c r="A563" s="9"/>
      <c r="B563" s="9"/>
      <c r="C563" s="9"/>
      <c r="D563" s="9"/>
      <c r="E563" s="9"/>
      <c r="F563" s="9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true" outlineLevel="0" collapsed="false">
      <c r="A564" s="9"/>
      <c r="B564" s="9"/>
      <c r="C564" s="9"/>
      <c r="D564" s="9"/>
      <c r="E564" s="9"/>
      <c r="F564" s="9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true" outlineLevel="0" collapsed="false">
      <c r="A565" s="9"/>
      <c r="B565" s="9"/>
      <c r="C565" s="9"/>
      <c r="D565" s="9"/>
      <c r="E565" s="9"/>
      <c r="F565" s="9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true" outlineLevel="0" collapsed="false">
      <c r="A566" s="9"/>
      <c r="B566" s="9"/>
      <c r="C566" s="9"/>
      <c r="D566" s="9"/>
      <c r="E566" s="9"/>
      <c r="F566" s="9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true" outlineLevel="0" collapsed="false">
      <c r="A567" s="9"/>
      <c r="B567" s="9"/>
      <c r="C567" s="9"/>
      <c r="D567" s="9"/>
      <c r="E567" s="9"/>
      <c r="F567" s="9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true" outlineLevel="0" collapsed="false">
      <c r="A568" s="9"/>
      <c r="B568" s="9"/>
      <c r="C568" s="9"/>
      <c r="D568" s="9"/>
      <c r="E568" s="9"/>
      <c r="F568" s="9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true" outlineLevel="0" collapsed="false">
      <c r="A569" s="9"/>
      <c r="B569" s="9"/>
      <c r="C569" s="9"/>
      <c r="D569" s="9"/>
      <c r="E569" s="9"/>
      <c r="F569" s="9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true" outlineLevel="0" collapsed="false">
      <c r="A570" s="9"/>
      <c r="B570" s="9"/>
      <c r="C570" s="9"/>
      <c r="D570" s="9"/>
      <c r="E570" s="9"/>
      <c r="F570" s="9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true" outlineLevel="0" collapsed="false">
      <c r="A571" s="9"/>
      <c r="B571" s="9"/>
      <c r="C571" s="9"/>
      <c r="D571" s="9"/>
      <c r="E571" s="9"/>
      <c r="F571" s="9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true" outlineLevel="0" collapsed="false">
      <c r="A572" s="9"/>
      <c r="B572" s="9"/>
      <c r="C572" s="9"/>
      <c r="D572" s="9"/>
      <c r="E572" s="9"/>
      <c r="F572" s="9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true" outlineLevel="0" collapsed="false">
      <c r="A573" s="9"/>
      <c r="B573" s="9"/>
      <c r="C573" s="9"/>
      <c r="D573" s="9"/>
      <c r="E573" s="9"/>
      <c r="F573" s="9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true" outlineLevel="0" collapsed="false">
      <c r="A574" s="9"/>
      <c r="B574" s="9"/>
      <c r="C574" s="9"/>
      <c r="D574" s="9"/>
      <c r="E574" s="9"/>
      <c r="F574" s="9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true" outlineLevel="0" collapsed="false">
      <c r="A575" s="9"/>
      <c r="B575" s="9"/>
      <c r="C575" s="9"/>
      <c r="D575" s="9"/>
      <c r="E575" s="9"/>
      <c r="F575" s="9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true" outlineLevel="0" collapsed="false">
      <c r="A576" s="9"/>
      <c r="B576" s="9"/>
      <c r="C576" s="9"/>
      <c r="D576" s="9"/>
      <c r="E576" s="9"/>
      <c r="F576" s="9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true" outlineLevel="0" collapsed="false">
      <c r="A577" s="9"/>
      <c r="B577" s="9"/>
      <c r="C577" s="9"/>
      <c r="D577" s="9"/>
      <c r="E577" s="9"/>
      <c r="F577" s="9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true" outlineLevel="0" collapsed="false">
      <c r="A578" s="9"/>
      <c r="B578" s="9"/>
      <c r="C578" s="9"/>
      <c r="D578" s="9"/>
      <c r="E578" s="9"/>
      <c r="F578" s="9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true" outlineLevel="0" collapsed="false">
      <c r="A579" s="9"/>
      <c r="B579" s="9"/>
      <c r="C579" s="9"/>
      <c r="D579" s="9"/>
      <c r="E579" s="9"/>
      <c r="F579" s="9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true" outlineLevel="0" collapsed="false">
      <c r="A580" s="9"/>
      <c r="B580" s="9"/>
      <c r="C580" s="9"/>
      <c r="D580" s="9"/>
      <c r="E580" s="9"/>
      <c r="F580" s="9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true" outlineLevel="0" collapsed="false">
      <c r="A581" s="9"/>
      <c r="B581" s="9"/>
      <c r="C581" s="9"/>
      <c r="D581" s="9"/>
      <c r="E581" s="9"/>
      <c r="F581" s="9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true" outlineLevel="0" collapsed="false">
      <c r="A582" s="9"/>
      <c r="B582" s="9"/>
      <c r="C582" s="9"/>
      <c r="D582" s="9"/>
      <c r="E582" s="9"/>
      <c r="F582" s="9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true" outlineLevel="0" collapsed="false">
      <c r="A583" s="9"/>
      <c r="B583" s="9"/>
      <c r="C583" s="9"/>
      <c r="D583" s="9"/>
      <c r="E583" s="9"/>
      <c r="F583" s="9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true" outlineLevel="0" collapsed="false">
      <c r="A584" s="9"/>
      <c r="B584" s="9"/>
      <c r="C584" s="9"/>
      <c r="D584" s="9"/>
      <c r="E584" s="9"/>
      <c r="F584" s="9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true" outlineLevel="0" collapsed="false">
      <c r="A585" s="9"/>
      <c r="B585" s="9"/>
      <c r="C585" s="9"/>
      <c r="D585" s="9"/>
      <c r="E585" s="9"/>
      <c r="F585" s="9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true" outlineLevel="0" collapsed="false">
      <c r="A586" s="9"/>
      <c r="B586" s="9"/>
      <c r="C586" s="9"/>
      <c r="D586" s="9"/>
      <c r="E586" s="9"/>
      <c r="F586" s="9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true" outlineLevel="0" collapsed="false">
      <c r="A587" s="9"/>
      <c r="B587" s="9"/>
      <c r="C587" s="9"/>
      <c r="D587" s="9"/>
      <c r="E587" s="9"/>
      <c r="F587" s="9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true" outlineLevel="0" collapsed="false">
      <c r="A588" s="9"/>
      <c r="B588" s="9"/>
      <c r="C588" s="9"/>
      <c r="D588" s="9"/>
      <c r="E588" s="9"/>
      <c r="F588" s="9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true" outlineLevel="0" collapsed="false">
      <c r="A589" s="9"/>
      <c r="B589" s="9"/>
      <c r="C589" s="9"/>
      <c r="D589" s="9"/>
      <c r="E589" s="9"/>
      <c r="F589" s="9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true" outlineLevel="0" collapsed="false">
      <c r="A590" s="9"/>
      <c r="B590" s="9"/>
      <c r="C590" s="9"/>
      <c r="D590" s="9"/>
      <c r="E590" s="9"/>
      <c r="F590" s="9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true" outlineLevel="0" collapsed="false">
      <c r="A591" s="9"/>
      <c r="B591" s="9"/>
      <c r="C591" s="9"/>
      <c r="D591" s="9"/>
      <c r="E591" s="9"/>
      <c r="F591" s="9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true" outlineLevel="0" collapsed="false">
      <c r="A592" s="9"/>
      <c r="B592" s="9"/>
      <c r="C592" s="9"/>
      <c r="D592" s="9"/>
      <c r="E592" s="9"/>
      <c r="F592" s="9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true" outlineLevel="0" collapsed="false">
      <c r="A593" s="9"/>
      <c r="B593" s="9"/>
      <c r="C593" s="9"/>
      <c r="D593" s="9"/>
      <c r="E593" s="9"/>
      <c r="F593" s="9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true" outlineLevel="0" collapsed="false">
      <c r="A594" s="9"/>
      <c r="B594" s="9"/>
      <c r="C594" s="9"/>
      <c r="D594" s="9"/>
      <c r="E594" s="9"/>
      <c r="F594" s="9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9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9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9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9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9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9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9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9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9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9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9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9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9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9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9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9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9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9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9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9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9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9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9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9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9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9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9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9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9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9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9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9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9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9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9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9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9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9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9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9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9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9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9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9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9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9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9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9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9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9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9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9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9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9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9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9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9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9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9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9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9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9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9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9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9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9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9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true" outlineLevel="0" collapsed="false">
      <c r="A662" s="9"/>
      <c r="B662" s="9"/>
      <c r="C662" s="9"/>
      <c r="D662" s="9"/>
      <c r="E662" s="9"/>
      <c r="F662" s="9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true" outlineLevel="0" collapsed="false">
      <c r="A663" s="9"/>
      <c r="B663" s="9"/>
      <c r="C663" s="9"/>
      <c r="D663" s="9"/>
      <c r="E663" s="9"/>
      <c r="F663" s="9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true" outlineLevel="0" collapsed="false">
      <c r="A664" s="9"/>
      <c r="B664" s="9"/>
      <c r="C664" s="9"/>
      <c r="D664" s="9"/>
      <c r="E664" s="9"/>
      <c r="F664" s="9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true" outlineLevel="0" collapsed="false">
      <c r="A665" s="9"/>
      <c r="B665" s="9"/>
      <c r="C665" s="9"/>
      <c r="D665" s="9"/>
      <c r="E665" s="9"/>
      <c r="F665" s="9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true" outlineLevel="0" collapsed="false">
      <c r="A666" s="9"/>
      <c r="B666" s="9"/>
      <c r="C666" s="9"/>
      <c r="D666" s="9"/>
      <c r="E666" s="9"/>
      <c r="F666" s="9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true" outlineLevel="0" collapsed="false">
      <c r="A667" s="9"/>
      <c r="B667" s="9"/>
      <c r="C667" s="9"/>
      <c r="D667" s="9"/>
      <c r="E667" s="9"/>
      <c r="F667" s="9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true" outlineLevel="0" collapsed="false">
      <c r="A668" s="9"/>
      <c r="B668" s="9"/>
      <c r="C668" s="9"/>
      <c r="D668" s="9"/>
      <c r="E668" s="9"/>
      <c r="F668" s="9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true" outlineLevel="0" collapsed="false">
      <c r="A669" s="9"/>
      <c r="B669" s="9"/>
      <c r="C669" s="9"/>
      <c r="D669" s="9"/>
      <c r="E669" s="9"/>
      <c r="F669" s="9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true" outlineLevel="0" collapsed="false">
      <c r="A670" s="9"/>
      <c r="B670" s="9"/>
      <c r="C670" s="9"/>
      <c r="D670" s="9"/>
      <c r="E670" s="9"/>
      <c r="F670" s="9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true" outlineLevel="0" collapsed="false">
      <c r="A671" s="9"/>
      <c r="B671" s="9"/>
      <c r="C671" s="9"/>
      <c r="D671" s="9"/>
      <c r="E671" s="9"/>
      <c r="F671" s="9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true" outlineLevel="0" collapsed="false">
      <c r="A672" s="9"/>
      <c r="B672" s="9"/>
      <c r="C672" s="9"/>
      <c r="D672" s="9"/>
      <c r="E672" s="9"/>
      <c r="F672" s="9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true" outlineLevel="0" collapsed="false">
      <c r="A673" s="9"/>
      <c r="B673" s="9"/>
      <c r="C673" s="9"/>
      <c r="D673" s="9"/>
      <c r="E673" s="9"/>
      <c r="F673" s="9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true" outlineLevel="0" collapsed="false">
      <c r="A674" s="9"/>
      <c r="B674" s="9"/>
      <c r="C674" s="9"/>
      <c r="D674" s="9"/>
      <c r="E674" s="9"/>
      <c r="F674" s="9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true" outlineLevel="0" collapsed="false">
      <c r="A675" s="9"/>
      <c r="B675" s="9"/>
      <c r="C675" s="9"/>
      <c r="D675" s="9"/>
      <c r="E675" s="9"/>
      <c r="F675" s="9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true" outlineLevel="0" collapsed="false">
      <c r="A676" s="9"/>
      <c r="B676" s="9"/>
      <c r="C676" s="9"/>
      <c r="D676" s="9"/>
      <c r="E676" s="9"/>
      <c r="F676" s="9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true" outlineLevel="0" collapsed="false">
      <c r="A677" s="9"/>
      <c r="B677" s="9"/>
      <c r="C677" s="9"/>
      <c r="D677" s="9"/>
      <c r="E677" s="9"/>
      <c r="F677" s="9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true" outlineLevel="0" collapsed="false">
      <c r="A678" s="9"/>
      <c r="B678" s="9"/>
      <c r="C678" s="9"/>
      <c r="D678" s="9"/>
      <c r="E678" s="9"/>
      <c r="F678" s="9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true" outlineLevel="0" collapsed="false">
      <c r="A679" s="9"/>
      <c r="B679" s="9"/>
      <c r="C679" s="9"/>
      <c r="D679" s="9"/>
      <c r="E679" s="9"/>
      <c r="F679" s="9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true" outlineLevel="0" collapsed="false">
      <c r="A680" s="9"/>
      <c r="B680" s="9"/>
      <c r="C680" s="9"/>
      <c r="D680" s="9"/>
      <c r="E680" s="9"/>
      <c r="F680" s="9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true" outlineLevel="0" collapsed="false">
      <c r="A681" s="9"/>
      <c r="B681" s="9"/>
      <c r="C681" s="9"/>
      <c r="D681" s="9"/>
      <c r="E681" s="9"/>
      <c r="F681" s="9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true" outlineLevel="0" collapsed="false">
      <c r="A682" s="9"/>
      <c r="B682" s="9"/>
      <c r="C682" s="9"/>
      <c r="D682" s="9"/>
      <c r="E682" s="9"/>
      <c r="F682" s="9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true" outlineLevel="0" collapsed="false">
      <c r="A683" s="9"/>
      <c r="B683" s="9"/>
      <c r="C683" s="9"/>
      <c r="D683" s="9"/>
      <c r="E683" s="9"/>
      <c r="F683" s="9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true" outlineLevel="0" collapsed="false">
      <c r="A684" s="9"/>
      <c r="B684" s="9"/>
      <c r="C684" s="9"/>
      <c r="D684" s="9"/>
      <c r="E684" s="9"/>
      <c r="F684" s="9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true" outlineLevel="0" collapsed="false">
      <c r="A685" s="9"/>
      <c r="B685" s="9"/>
      <c r="C685" s="9"/>
      <c r="D685" s="9"/>
      <c r="E685" s="9"/>
      <c r="F685" s="9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true" outlineLevel="0" collapsed="false">
      <c r="A686" s="9"/>
      <c r="B686" s="9"/>
      <c r="C686" s="9"/>
      <c r="D686" s="9"/>
      <c r="E686" s="9"/>
      <c r="F686" s="9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true" outlineLevel="0" collapsed="false">
      <c r="A687" s="9"/>
      <c r="B687" s="9"/>
      <c r="C687" s="9"/>
      <c r="D687" s="9"/>
      <c r="E687" s="9"/>
      <c r="F687" s="9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true" outlineLevel="0" collapsed="false">
      <c r="A688" s="9"/>
      <c r="B688" s="9"/>
      <c r="C688" s="9"/>
      <c r="D688" s="9"/>
      <c r="E688" s="9"/>
      <c r="F688" s="9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true" outlineLevel="0" collapsed="false">
      <c r="A689" s="9"/>
      <c r="B689" s="9"/>
      <c r="C689" s="9"/>
      <c r="D689" s="9"/>
      <c r="E689" s="9"/>
      <c r="F689" s="9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true" outlineLevel="0" collapsed="false">
      <c r="A690" s="9"/>
      <c r="B690" s="9"/>
      <c r="C690" s="9"/>
      <c r="D690" s="9"/>
      <c r="E690" s="9"/>
      <c r="F690" s="9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true" outlineLevel="0" collapsed="false">
      <c r="A691" s="9"/>
      <c r="B691" s="9"/>
      <c r="C691" s="9"/>
      <c r="D691" s="9"/>
      <c r="E691" s="9"/>
      <c r="F691" s="9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true" outlineLevel="0" collapsed="false">
      <c r="A692" s="9"/>
      <c r="B692" s="9"/>
      <c r="C692" s="9"/>
      <c r="D692" s="9"/>
      <c r="E692" s="9"/>
      <c r="F692" s="9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true" outlineLevel="0" collapsed="false">
      <c r="A693" s="9"/>
      <c r="B693" s="9"/>
      <c r="C693" s="9"/>
      <c r="D693" s="9"/>
      <c r="E693" s="9"/>
      <c r="F693" s="9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true" outlineLevel="0" collapsed="false">
      <c r="A694" s="9"/>
      <c r="B694" s="9"/>
      <c r="C694" s="9"/>
      <c r="D694" s="9"/>
      <c r="E694" s="9"/>
      <c r="F694" s="9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true" outlineLevel="0" collapsed="false">
      <c r="A695" s="9"/>
      <c r="B695" s="9"/>
      <c r="C695" s="9"/>
      <c r="D695" s="9"/>
      <c r="E695" s="9"/>
      <c r="F695" s="9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true" outlineLevel="0" collapsed="false">
      <c r="A696" s="9"/>
      <c r="B696" s="9"/>
      <c r="C696" s="9"/>
      <c r="D696" s="9"/>
      <c r="E696" s="9"/>
      <c r="F696" s="9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true" outlineLevel="0" collapsed="false">
      <c r="A697" s="9"/>
      <c r="B697" s="9"/>
      <c r="C697" s="9"/>
      <c r="D697" s="9"/>
      <c r="E697" s="9"/>
      <c r="F697" s="9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true" outlineLevel="0" collapsed="false">
      <c r="A698" s="9"/>
      <c r="B698" s="9"/>
      <c r="C698" s="9"/>
      <c r="D698" s="9"/>
      <c r="E698" s="9"/>
      <c r="F698" s="9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true" outlineLevel="0" collapsed="false">
      <c r="A699" s="9"/>
      <c r="B699" s="9"/>
      <c r="C699" s="9"/>
      <c r="D699" s="9"/>
      <c r="E699" s="9"/>
      <c r="F699" s="9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true" outlineLevel="0" collapsed="false">
      <c r="A700" s="9"/>
      <c r="B700" s="9"/>
      <c r="C700" s="9"/>
      <c r="D700" s="9"/>
      <c r="E700" s="9"/>
      <c r="F700" s="9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true" outlineLevel="0" collapsed="false">
      <c r="A701" s="9"/>
      <c r="B701" s="9"/>
      <c r="C701" s="9"/>
      <c r="D701" s="9"/>
      <c r="E701" s="9"/>
      <c r="F701" s="9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true" outlineLevel="0" collapsed="false">
      <c r="A702" s="9"/>
      <c r="B702" s="9"/>
      <c r="C702" s="9"/>
      <c r="D702" s="9"/>
      <c r="E702" s="9"/>
      <c r="F702" s="9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true" outlineLevel="0" collapsed="false">
      <c r="A703" s="9"/>
      <c r="B703" s="9"/>
      <c r="C703" s="9"/>
      <c r="D703" s="9"/>
      <c r="E703" s="9"/>
      <c r="F703" s="9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true" outlineLevel="0" collapsed="false">
      <c r="A704" s="9"/>
      <c r="B704" s="9"/>
      <c r="C704" s="9"/>
      <c r="D704" s="9"/>
      <c r="E704" s="9"/>
      <c r="F704" s="9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true" outlineLevel="0" collapsed="false">
      <c r="A705" s="9"/>
      <c r="B705" s="9"/>
      <c r="C705" s="9"/>
      <c r="D705" s="9"/>
      <c r="E705" s="9"/>
      <c r="F705" s="9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true" outlineLevel="0" collapsed="false">
      <c r="A706" s="9"/>
      <c r="B706" s="9"/>
      <c r="C706" s="9"/>
      <c r="D706" s="9"/>
      <c r="E706" s="9"/>
      <c r="F706" s="9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true" outlineLevel="0" collapsed="false">
      <c r="A707" s="9"/>
      <c r="B707" s="9"/>
      <c r="C707" s="9"/>
      <c r="D707" s="9"/>
      <c r="E707" s="9"/>
      <c r="F707" s="9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true" outlineLevel="0" collapsed="false">
      <c r="A708" s="9"/>
      <c r="B708" s="9"/>
      <c r="C708" s="9"/>
      <c r="D708" s="9"/>
      <c r="E708" s="9"/>
      <c r="F708" s="9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true" outlineLevel="0" collapsed="false">
      <c r="A709" s="9"/>
      <c r="B709" s="9"/>
      <c r="C709" s="9"/>
      <c r="D709" s="9"/>
      <c r="E709" s="9"/>
      <c r="F709" s="9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true" outlineLevel="0" collapsed="false">
      <c r="A710" s="9"/>
      <c r="B710" s="9"/>
      <c r="C710" s="9"/>
      <c r="D710" s="9"/>
      <c r="E710" s="9"/>
      <c r="F710" s="9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true" outlineLevel="0" collapsed="false">
      <c r="A711" s="9"/>
      <c r="B711" s="9"/>
      <c r="C711" s="9"/>
      <c r="D711" s="9"/>
      <c r="E711" s="9"/>
      <c r="F711" s="9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true" outlineLevel="0" collapsed="false">
      <c r="A712" s="9"/>
      <c r="B712" s="9"/>
      <c r="C712" s="9"/>
      <c r="D712" s="9"/>
      <c r="E712" s="9"/>
      <c r="F712" s="9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true" outlineLevel="0" collapsed="false">
      <c r="A713" s="9"/>
      <c r="B713" s="9"/>
      <c r="C713" s="9"/>
      <c r="D713" s="9"/>
      <c r="E713" s="9"/>
      <c r="F713" s="9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true" outlineLevel="0" collapsed="false">
      <c r="A714" s="9"/>
      <c r="B714" s="9"/>
      <c r="C714" s="9"/>
      <c r="D714" s="9"/>
      <c r="E714" s="9"/>
      <c r="F714" s="9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true" outlineLevel="0" collapsed="false">
      <c r="A715" s="9"/>
      <c r="B715" s="9"/>
      <c r="C715" s="9"/>
      <c r="D715" s="9"/>
      <c r="E715" s="9"/>
      <c r="F715" s="9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true" outlineLevel="0" collapsed="false">
      <c r="A716" s="9"/>
      <c r="B716" s="9"/>
      <c r="C716" s="9"/>
      <c r="D716" s="9"/>
      <c r="E716" s="9"/>
      <c r="F716" s="9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true" outlineLevel="0" collapsed="false">
      <c r="A717" s="9"/>
      <c r="B717" s="9"/>
      <c r="C717" s="9"/>
      <c r="D717" s="9"/>
      <c r="E717" s="9"/>
      <c r="F717" s="9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true" outlineLevel="0" collapsed="false">
      <c r="A718" s="9"/>
      <c r="B718" s="9"/>
      <c r="C718" s="9"/>
      <c r="D718" s="9"/>
      <c r="E718" s="9"/>
      <c r="F718" s="9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true" outlineLevel="0" collapsed="false">
      <c r="A719" s="9"/>
      <c r="B719" s="9"/>
      <c r="C719" s="9"/>
      <c r="D719" s="9"/>
      <c r="E719" s="9"/>
      <c r="F719" s="9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true" outlineLevel="0" collapsed="false">
      <c r="A720" s="9"/>
      <c r="B720" s="9"/>
      <c r="C720" s="9"/>
      <c r="D720" s="9"/>
      <c r="E720" s="9"/>
      <c r="F720" s="9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true" outlineLevel="0" collapsed="false">
      <c r="A721" s="9"/>
      <c r="B721" s="9"/>
      <c r="C721" s="9"/>
      <c r="D721" s="9"/>
      <c r="E721" s="9"/>
      <c r="F721" s="9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true" outlineLevel="0" collapsed="false">
      <c r="A722" s="9"/>
      <c r="B722" s="9"/>
      <c r="C722" s="9"/>
      <c r="D722" s="9"/>
      <c r="E722" s="9"/>
      <c r="F722" s="9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true" outlineLevel="0" collapsed="false">
      <c r="A723" s="9"/>
      <c r="B723" s="9"/>
      <c r="C723" s="9"/>
      <c r="D723" s="9"/>
      <c r="E723" s="9"/>
      <c r="F723" s="9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true" outlineLevel="0" collapsed="false">
      <c r="A724" s="9"/>
      <c r="B724" s="9"/>
      <c r="C724" s="9"/>
      <c r="D724" s="9"/>
      <c r="E724" s="9"/>
      <c r="F724" s="9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true" outlineLevel="0" collapsed="false">
      <c r="A725" s="9"/>
      <c r="B725" s="9"/>
      <c r="C725" s="9"/>
      <c r="D725" s="9"/>
      <c r="E725" s="9"/>
      <c r="F725" s="9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true" outlineLevel="0" collapsed="false">
      <c r="A726" s="9"/>
      <c r="B726" s="9"/>
      <c r="C726" s="9"/>
      <c r="D726" s="9"/>
      <c r="E726" s="9"/>
      <c r="F726" s="9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true" outlineLevel="0" collapsed="false">
      <c r="A727" s="9"/>
      <c r="B727" s="9"/>
      <c r="C727" s="9"/>
      <c r="D727" s="9"/>
      <c r="E727" s="9"/>
      <c r="F727" s="9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true" outlineLevel="0" collapsed="false">
      <c r="A728" s="9"/>
      <c r="B728" s="9"/>
      <c r="C728" s="9"/>
      <c r="D728" s="9"/>
      <c r="E728" s="9"/>
      <c r="F728" s="9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true" outlineLevel="0" collapsed="false">
      <c r="A729" s="9"/>
      <c r="B729" s="9"/>
      <c r="C729" s="9"/>
      <c r="D729" s="9"/>
      <c r="E729" s="9"/>
      <c r="F729" s="9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true" outlineLevel="0" collapsed="false">
      <c r="A730" s="9"/>
      <c r="B730" s="9"/>
      <c r="C730" s="9"/>
      <c r="D730" s="9"/>
      <c r="E730" s="9"/>
      <c r="F730" s="9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true" outlineLevel="0" collapsed="false">
      <c r="A731" s="9"/>
      <c r="B731" s="9"/>
      <c r="C731" s="9"/>
      <c r="D731" s="9"/>
      <c r="E731" s="9"/>
      <c r="F731" s="9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true" outlineLevel="0" collapsed="false">
      <c r="A732" s="9"/>
      <c r="B732" s="9"/>
      <c r="C732" s="9"/>
      <c r="D732" s="9"/>
      <c r="E732" s="9"/>
      <c r="F732" s="9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true" outlineLevel="0" collapsed="false">
      <c r="A733" s="9"/>
      <c r="B733" s="9"/>
      <c r="C733" s="9"/>
      <c r="D733" s="9"/>
      <c r="E733" s="9"/>
      <c r="F733" s="9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true" outlineLevel="0" collapsed="false">
      <c r="A734" s="9"/>
      <c r="B734" s="9"/>
      <c r="C734" s="9"/>
      <c r="D734" s="9"/>
      <c r="E734" s="9"/>
      <c r="F734" s="9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true" outlineLevel="0" collapsed="false">
      <c r="A735" s="9"/>
      <c r="B735" s="9"/>
      <c r="C735" s="9"/>
      <c r="D735" s="9"/>
      <c r="E735" s="9"/>
      <c r="F735" s="9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true" outlineLevel="0" collapsed="false">
      <c r="A736" s="9"/>
      <c r="B736" s="9"/>
      <c r="C736" s="9"/>
      <c r="D736" s="9"/>
      <c r="E736" s="9"/>
      <c r="F736" s="9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true" outlineLevel="0" collapsed="false">
      <c r="A737" s="9"/>
      <c r="B737" s="9"/>
      <c r="C737" s="9"/>
      <c r="D737" s="9"/>
      <c r="E737" s="9"/>
      <c r="F737" s="9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true" outlineLevel="0" collapsed="false">
      <c r="A738" s="9"/>
      <c r="B738" s="9"/>
      <c r="C738" s="9"/>
      <c r="D738" s="9"/>
      <c r="E738" s="9"/>
      <c r="F738" s="9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true" outlineLevel="0" collapsed="false">
      <c r="A739" s="9"/>
      <c r="B739" s="9"/>
      <c r="C739" s="9"/>
      <c r="D739" s="9"/>
      <c r="E739" s="9"/>
      <c r="F739" s="9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true" outlineLevel="0" collapsed="false">
      <c r="A740" s="9"/>
      <c r="B740" s="9"/>
      <c r="C740" s="9"/>
      <c r="D740" s="9"/>
      <c r="E740" s="9"/>
      <c r="F740" s="9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true" outlineLevel="0" collapsed="false">
      <c r="A741" s="9"/>
      <c r="B741" s="9"/>
      <c r="C741" s="9"/>
      <c r="D741" s="9"/>
      <c r="E741" s="9"/>
      <c r="F741" s="9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true" outlineLevel="0" collapsed="false">
      <c r="A742" s="9"/>
      <c r="B742" s="9"/>
      <c r="C742" s="9"/>
      <c r="D742" s="9"/>
      <c r="E742" s="9"/>
      <c r="F742" s="9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true" outlineLevel="0" collapsed="false">
      <c r="A743" s="9"/>
      <c r="B743" s="9"/>
      <c r="C743" s="9"/>
      <c r="D743" s="9"/>
      <c r="E743" s="9"/>
      <c r="F743" s="9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true" outlineLevel="0" collapsed="false">
      <c r="A744" s="9"/>
      <c r="B744" s="9"/>
      <c r="C744" s="9"/>
      <c r="D744" s="9"/>
      <c r="E744" s="9"/>
      <c r="F744" s="9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true" outlineLevel="0" collapsed="false">
      <c r="A745" s="9"/>
      <c r="B745" s="9"/>
      <c r="C745" s="9"/>
      <c r="D745" s="9"/>
      <c r="E745" s="9"/>
      <c r="F745" s="9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true" outlineLevel="0" collapsed="false">
      <c r="A746" s="9"/>
      <c r="B746" s="9"/>
      <c r="C746" s="9"/>
      <c r="D746" s="9"/>
      <c r="E746" s="9"/>
      <c r="F746" s="9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true" outlineLevel="0" collapsed="false">
      <c r="A747" s="9"/>
      <c r="B747" s="9"/>
      <c r="C747" s="9"/>
      <c r="D747" s="9"/>
      <c r="E747" s="9"/>
      <c r="F747" s="9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true" outlineLevel="0" collapsed="false">
      <c r="A748" s="9"/>
      <c r="B748" s="9"/>
      <c r="C748" s="9"/>
      <c r="D748" s="9"/>
      <c r="E748" s="9"/>
      <c r="F748" s="9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true" outlineLevel="0" collapsed="false">
      <c r="A749" s="9"/>
      <c r="B749" s="9"/>
      <c r="C749" s="9"/>
      <c r="D749" s="9"/>
      <c r="E749" s="9"/>
      <c r="F749" s="9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true" outlineLevel="0" collapsed="false">
      <c r="A750" s="9"/>
      <c r="B750" s="9"/>
      <c r="C750" s="9"/>
      <c r="D750" s="9"/>
      <c r="E750" s="9"/>
      <c r="F750" s="9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true" outlineLevel="0" collapsed="false">
      <c r="A751" s="9"/>
      <c r="B751" s="9"/>
      <c r="C751" s="9"/>
      <c r="D751" s="9"/>
      <c r="E751" s="9"/>
      <c r="F751" s="9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true" outlineLevel="0" collapsed="false">
      <c r="A752" s="9"/>
      <c r="B752" s="9"/>
      <c r="C752" s="9"/>
      <c r="D752" s="9"/>
      <c r="E752" s="9"/>
      <c r="F752" s="9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true" outlineLevel="0" collapsed="false">
      <c r="A753" s="9"/>
      <c r="B753" s="9"/>
      <c r="C753" s="9"/>
      <c r="D753" s="9"/>
      <c r="E753" s="9"/>
      <c r="F753" s="9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true" outlineLevel="0" collapsed="false">
      <c r="A754" s="9"/>
      <c r="B754" s="9"/>
      <c r="C754" s="9"/>
      <c r="D754" s="9"/>
      <c r="E754" s="9"/>
      <c r="F754" s="9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true" outlineLevel="0" collapsed="false">
      <c r="A755" s="9"/>
      <c r="B755" s="9"/>
      <c r="C755" s="9"/>
      <c r="D755" s="9"/>
      <c r="E755" s="9"/>
      <c r="F755" s="9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true" outlineLevel="0" collapsed="false">
      <c r="A756" s="9"/>
      <c r="B756" s="9"/>
      <c r="C756" s="9"/>
      <c r="D756" s="9"/>
      <c r="E756" s="9"/>
      <c r="F756" s="9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true" outlineLevel="0" collapsed="false">
      <c r="A757" s="9"/>
      <c r="B757" s="9"/>
      <c r="C757" s="9"/>
      <c r="D757" s="9"/>
      <c r="E757" s="9"/>
      <c r="F757" s="9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true" outlineLevel="0" collapsed="false">
      <c r="A758" s="9"/>
      <c r="B758" s="9"/>
      <c r="C758" s="9"/>
      <c r="D758" s="9"/>
      <c r="E758" s="9"/>
      <c r="F758" s="9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true" outlineLevel="0" collapsed="false">
      <c r="A759" s="9"/>
      <c r="B759" s="9"/>
      <c r="C759" s="9"/>
      <c r="D759" s="9"/>
      <c r="E759" s="9"/>
      <c r="F759" s="9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true" outlineLevel="0" collapsed="false">
      <c r="A760" s="9"/>
      <c r="B760" s="9"/>
      <c r="C760" s="9"/>
      <c r="D760" s="9"/>
      <c r="E760" s="9"/>
      <c r="F760" s="9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true" outlineLevel="0" collapsed="false">
      <c r="A761" s="9"/>
      <c r="B761" s="9"/>
      <c r="C761" s="9"/>
      <c r="D761" s="9"/>
      <c r="E761" s="9"/>
      <c r="F761" s="9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true" outlineLevel="0" collapsed="false">
      <c r="A762" s="9"/>
      <c r="B762" s="9"/>
      <c r="C762" s="9"/>
      <c r="D762" s="9"/>
      <c r="E762" s="9"/>
      <c r="F762" s="9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true" outlineLevel="0" collapsed="false">
      <c r="A763" s="9"/>
      <c r="B763" s="9"/>
      <c r="C763" s="9"/>
      <c r="D763" s="9"/>
      <c r="E763" s="9"/>
      <c r="F763" s="9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true" outlineLevel="0" collapsed="false">
      <c r="A764" s="9"/>
      <c r="B764" s="9"/>
      <c r="C764" s="9"/>
      <c r="D764" s="9"/>
      <c r="E764" s="9"/>
      <c r="F764" s="9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true" outlineLevel="0" collapsed="false">
      <c r="A765" s="9"/>
      <c r="B765" s="9"/>
      <c r="C765" s="9"/>
      <c r="D765" s="9"/>
      <c r="E765" s="9"/>
      <c r="F765" s="9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true" outlineLevel="0" collapsed="false">
      <c r="A766" s="9"/>
      <c r="B766" s="9"/>
      <c r="C766" s="9"/>
      <c r="D766" s="9"/>
      <c r="E766" s="9"/>
      <c r="F766" s="9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true" outlineLevel="0" collapsed="false">
      <c r="A767" s="9"/>
      <c r="B767" s="9"/>
      <c r="C767" s="9"/>
      <c r="D767" s="9"/>
      <c r="E767" s="9"/>
      <c r="F767" s="9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true" outlineLevel="0" collapsed="false">
      <c r="A768" s="9"/>
      <c r="B768" s="9"/>
      <c r="C768" s="9"/>
      <c r="D768" s="9"/>
      <c r="E768" s="9"/>
      <c r="F768" s="9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true" outlineLevel="0" collapsed="false">
      <c r="A769" s="9"/>
      <c r="B769" s="9"/>
      <c r="C769" s="9"/>
      <c r="D769" s="9"/>
      <c r="E769" s="9"/>
      <c r="F769" s="9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true" outlineLevel="0" collapsed="false">
      <c r="A770" s="9"/>
      <c r="B770" s="9"/>
      <c r="C770" s="9"/>
      <c r="D770" s="9"/>
      <c r="E770" s="9"/>
      <c r="F770" s="9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true" outlineLevel="0" collapsed="false">
      <c r="A771" s="9"/>
      <c r="B771" s="9"/>
      <c r="C771" s="9"/>
      <c r="D771" s="9"/>
      <c r="E771" s="9"/>
      <c r="F771" s="9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true" outlineLevel="0" collapsed="false">
      <c r="A772" s="9"/>
      <c r="B772" s="9"/>
      <c r="C772" s="9"/>
      <c r="D772" s="9"/>
      <c r="E772" s="9"/>
      <c r="F772" s="9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true" outlineLevel="0" collapsed="false">
      <c r="A773" s="9"/>
      <c r="B773" s="9"/>
      <c r="C773" s="9"/>
      <c r="D773" s="9"/>
      <c r="E773" s="9"/>
      <c r="F773" s="9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true" outlineLevel="0" collapsed="false">
      <c r="A774" s="9"/>
      <c r="B774" s="9"/>
      <c r="C774" s="9"/>
      <c r="D774" s="9"/>
      <c r="E774" s="9"/>
      <c r="F774" s="9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true" outlineLevel="0" collapsed="false">
      <c r="A775" s="9"/>
      <c r="B775" s="9"/>
      <c r="C775" s="9"/>
      <c r="D775" s="9"/>
      <c r="E775" s="9"/>
      <c r="F775" s="9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true" outlineLevel="0" collapsed="false">
      <c r="A776" s="9"/>
      <c r="B776" s="9"/>
      <c r="C776" s="9"/>
      <c r="D776" s="9"/>
      <c r="E776" s="9"/>
      <c r="F776" s="9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true" outlineLevel="0" collapsed="false">
      <c r="A777" s="9"/>
      <c r="B777" s="9"/>
      <c r="C777" s="9"/>
      <c r="D777" s="9"/>
      <c r="E777" s="9"/>
      <c r="F777" s="9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true" outlineLevel="0" collapsed="false">
      <c r="A778" s="9"/>
      <c r="B778" s="9"/>
      <c r="C778" s="9"/>
      <c r="D778" s="9"/>
      <c r="E778" s="9"/>
      <c r="F778" s="9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true" outlineLevel="0" collapsed="false">
      <c r="A779" s="9"/>
      <c r="B779" s="9"/>
      <c r="C779" s="9"/>
      <c r="D779" s="9"/>
      <c r="E779" s="9"/>
      <c r="F779" s="9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true" outlineLevel="0" collapsed="false">
      <c r="A780" s="9"/>
      <c r="B780" s="9"/>
      <c r="C780" s="9"/>
      <c r="D780" s="9"/>
      <c r="E780" s="9"/>
      <c r="F780" s="9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true" outlineLevel="0" collapsed="false">
      <c r="A781" s="9"/>
      <c r="B781" s="9"/>
      <c r="C781" s="9"/>
      <c r="D781" s="9"/>
      <c r="E781" s="9"/>
      <c r="F781" s="9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true" outlineLevel="0" collapsed="false">
      <c r="A782" s="9"/>
      <c r="B782" s="9"/>
      <c r="C782" s="9"/>
      <c r="D782" s="9"/>
      <c r="E782" s="9"/>
      <c r="F782" s="9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true" outlineLevel="0" collapsed="false">
      <c r="A783" s="9"/>
      <c r="B783" s="9"/>
      <c r="C783" s="9"/>
      <c r="D783" s="9"/>
      <c r="E783" s="9"/>
      <c r="F783" s="9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true" outlineLevel="0" collapsed="false">
      <c r="A784" s="9"/>
      <c r="B784" s="9"/>
      <c r="C784" s="9"/>
      <c r="D784" s="9"/>
      <c r="E784" s="9"/>
      <c r="F784" s="9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true" outlineLevel="0" collapsed="false">
      <c r="A785" s="9"/>
      <c r="B785" s="9"/>
      <c r="C785" s="9"/>
      <c r="D785" s="9"/>
      <c r="E785" s="9"/>
      <c r="F785" s="9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true" outlineLevel="0" collapsed="false">
      <c r="A786" s="9"/>
      <c r="B786" s="9"/>
      <c r="C786" s="9"/>
      <c r="D786" s="9"/>
      <c r="E786" s="9"/>
      <c r="F786" s="9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true" outlineLevel="0" collapsed="false">
      <c r="A787" s="9"/>
      <c r="B787" s="9"/>
      <c r="C787" s="9"/>
      <c r="D787" s="9"/>
      <c r="E787" s="9"/>
      <c r="F787" s="9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true" outlineLevel="0" collapsed="false">
      <c r="A788" s="9"/>
      <c r="B788" s="9"/>
      <c r="C788" s="9"/>
      <c r="D788" s="9"/>
      <c r="E788" s="9"/>
      <c r="F788" s="9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true" outlineLevel="0" collapsed="false">
      <c r="A789" s="9"/>
      <c r="B789" s="9"/>
      <c r="C789" s="9"/>
      <c r="D789" s="9"/>
      <c r="E789" s="9"/>
      <c r="F789" s="9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true" outlineLevel="0" collapsed="false">
      <c r="A790" s="9"/>
      <c r="B790" s="9"/>
      <c r="C790" s="9"/>
      <c r="D790" s="9"/>
      <c r="E790" s="9"/>
      <c r="F790" s="9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true" outlineLevel="0" collapsed="false">
      <c r="A791" s="9"/>
      <c r="B791" s="9"/>
      <c r="C791" s="9"/>
      <c r="D791" s="9"/>
      <c r="E791" s="9"/>
      <c r="F791" s="9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true" outlineLevel="0" collapsed="false">
      <c r="A792" s="9"/>
      <c r="B792" s="9"/>
      <c r="C792" s="9"/>
      <c r="D792" s="9"/>
      <c r="E792" s="9"/>
      <c r="F792" s="9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true" outlineLevel="0" collapsed="false">
      <c r="A793" s="9"/>
      <c r="B793" s="9"/>
      <c r="C793" s="9"/>
      <c r="D793" s="9"/>
      <c r="E793" s="9"/>
      <c r="F793" s="9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true" outlineLevel="0" collapsed="false">
      <c r="A794" s="9"/>
      <c r="B794" s="9"/>
      <c r="C794" s="9"/>
      <c r="D794" s="9"/>
      <c r="E794" s="9"/>
      <c r="F794" s="9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true" outlineLevel="0" collapsed="false">
      <c r="A795" s="9"/>
      <c r="B795" s="9"/>
      <c r="C795" s="9"/>
      <c r="D795" s="9"/>
      <c r="E795" s="9"/>
      <c r="F795" s="9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true" outlineLevel="0" collapsed="false">
      <c r="A796" s="9"/>
      <c r="B796" s="9"/>
      <c r="C796" s="9"/>
      <c r="D796" s="9"/>
      <c r="E796" s="9"/>
      <c r="F796" s="9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true" outlineLevel="0" collapsed="false">
      <c r="A797" s="9"/>
      <c r="B797" s="9"/>
      <c r="C797" s="9"/>
      <c r="D797" s="9"/>
      <c r="E797" s="9"/>
      <c r="F797" s="9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true" outlineLevel="0" collapsed="false">
      <c r="A798" s="9"/>
      <c r="B798" s="9"/>
      <c r="C798" s="9"/>
      <c r="D798" s="9"/>
      <c r="E798" s="9"/>
      <c r="F798" s="9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true" outlineLevel="0" collapsed="false">
      <c r="A799" s="9"/>
      <c r="B799" s="9"/>
      <c r="C799" s="9"/>
      <c r="D799" s="9"/>
      <c r="E799" s="9"/>
      <c r="F799" s="9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true" outlineLevel="0" collapsed="false">
      <c r="A800" s="9"/>
      <c r="B800" s="9"/>
      <c r="C800" s="9"/>
      <c r="D800" s="9"/>
      <c r="E800" s="9"/>
      <c r="F800" s="9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true" outlineLevel="0" collapsed="false">
      <c r="A801" s="9"/>
      <c r="B801" s="9"/>
      <c r="C801" s="9"/>
      <c r="D801" s="9"/>
      <c r="E801" s="9"/>
      <c r="F801" s="9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true" outlineLevel="0" collapsed="false">
      <c r="A802" s="9"/>
      <c r="B802" s="9"/>
      <c r="C802" s="9"/>
      <c r="D802" s="9"/>
      <c r="E802" s="9"/>
      <c r="F802" s="9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true" outlineLevel="0" collapsed="false">
      <c r="A803" s="9"/>
      <c r="B803" s="9"/>
      <c r="C803" s="9"/>
      <c r="D803" s="9"/>
      <c r="E803" s="9"/>
      <c r="F803" s="9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true" outlineLevel="0" collapsed="false">
      <c r="A804" s="9"/>
      <c r="B804" s="9"/>
      <c r="C804" s="9"/>
      <c r="D804" s="9"/>
      <c r="E804" s="9"/>
      <c r="F804" s="9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true" outlineLevel="0" collapsed="false">
      <c r="A805" s="9"/>
      <c r="B805" s="9"/>
      <c r="C805" s="9"/>
      <c r="D805" s="9"/>
      <c r="E805" s="9"/>
      <c r="F805" s="9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true" outlineLevel="0" collapsed="false">
      <c r="A806" s="9"/>
      <c r="B806" s="9"/>
      <c r="C806" s="9"/>
      <c r="D806" s="9"/>
      <c r="E806" s="9"/>
      <c r="F806" s="9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true" outlineLevel="0" collapsed="false">
      <c r="A807" s="9"/>
      <c r="B807" s="9"/>
      <c r="C807" s="9"/>
      <c r="D807" s="9"/>
      <c r="E807" s="9"/>
      <c r="F807" s="9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true" outlineLevel="0" collapsed="false">
      <c r="A808" s="9"/>
      <c r="B808" s="9"/>
      <c r="C808" s="9"/>
      <c r="D808" s="9"/>
      <c r="E808" s="9"/>
      <c r="F808" s="9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true" outlineLevel="0" collapsed="false">
      <c r="A809" s="9"/>
      <c r="B809" s="9"/>
      <c r="C809" s="9"/>
      <c r="D809" s="9"/>
      <c r="E809" s="9"/>
      <c r="F809" s="9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true" outlineLevel="0" collapsed="false">
      <c r="A810" s="9"/>
      <c r="B810" s="9"/>
      <c r="C810" s="9"/>
      <c r="D810" s="9"/>
      <c r="E810" s="9"/>
      <c r="F810" s="9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true" outlineLevel="0" collapsed="false">
      <c r="A811" s="9"/>
      <c r="B811" s="9"/>
      <c r="C811" s="9"/>
      <c r="D811" s="9"/>
      <c r="E811" s="9"/>
      <c r="F811" s="9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true" outlineLevel="0" collapsed="false">
      <c r="A812" s="9"/>
      <c r="B812" s="9"/>
      <c r="C812" s="9"/>
      <c r="D812" s="9"/>
      <c r="E812" s="9"/>
      <c r="F812" s="9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true" outlineLevel="0" collapsed="false">
      <c r="A813" s="9"/>
      <c r="B813" s="9"/>
      <c r="C813" s="9"/>
      <c r="D813" s="9"/>
      <c r="E813" s="9"/>
      <c r="F813" s="9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true" outlineLevel="0" collapsed="false">
      <c r="A814" s="9"/>
      <c r="B814" s="9"/>
      <c r="C814" s="9"/>
      <c r="D814" s="9"/>
      <c r="E814" s="9"/>
      <c r="F814" s="9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true" outlineLevel="0" collapsed="false">
      <c r="A815" s="9"/>
      <c r="B815" s="9"/>
      <c r="C815" s="9"/>
      <c r="D815" s="9"/>
      <c r="E815" s="9"/>
      <c r="F815" s="9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true" outlineLevel="0" collapsed="false">
      <c r="A816" s="9"/>
      <c r="B816" s="9"/>
      <c r="C816" s="9"/>
      <c r="D816" s="9"/>
      <c r="E816" s="9"/>
      <c r="F816" s="9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true" outlineLevel="0" collapsed="false">
      <c r="A817" s="9"/>
      <c r="B817" s="9"/>
      <c r="C817" s="9"/>
      <c r="D817" s="9"/>
      <c r="E817" s="9"/>
      <c r="F817" s="9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true" outlineLevel="0" collapsed="false">
      <c r="A818" s="9"/>
      <c r="B818" s="9"/>
      <c r="C818" s="9"/>
      <c r="D818" s="9"/>
      <c r="E818" s="9"/>
      <c r="F818" s="9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true" outlineLevel="0" collapsed="false">
      <c r="A819" s="9"/>
      <c r="B819" s="9"/>
      <c r="C819" s="9"/>
      <c r="D819" s="9"/>
      <c r="E819" s="9"/>
      <c r="F819" s="9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true" outlineLevel="0" collapsed="false">
      <c r="A820" s="9"/>
      <c r="B820" s="9"/>
      <c r="C820" s="9"/>
      <c r="D820" s="9"/>
      <c r="E820" s="9"/>
      <c r="F820" s="9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true" outlineLevel="0" collapsed="false">
      <c r="A821" s="9"/>
      <c r="B821" s="9"/>
      <c r="C821" s="9"/>
      <c r="D821" s="9"/>
      <c r="E821" s="9"/>
      <c r="F821" s="9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true" outlineLevel="0" collapsed="false">
      <c r="A822" s="9"/>
      <c r="B822" s="9"/>
      <c r="C822" s="9"/>
      <c r="D822" s="9"/>
      <c r="E822" s="9"/>
      <c r="F822" s="9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true" outlineLevel="0" collapsed="false">
      <c r="A823" s="9"/>
      <c r="B823" s="9"/>
      <c r="C823" s="9"/>
      <c r="D823" s="9"/>
      <c r="E823" s="9"/>
      <c r="F823" s="9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true" outlineLevel="0" collapsed="false">
      <c r="A824" s="9"/>
      <c r="B824" s="9"/>
      <c r="C824" s="9"/>
      <c r="D824" s="9"/>
      <c r="E824" s="9"/>
      <c r="F824" s="9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true" outlineLevel="0" collapsed="false">
      <c r="A825" s="9"/>
      <c r="B825" s="9"/>
      <c r="C825" s="9"/>
      <c r="D825" s="9"/>
      <c r="E825" s="9"/>
      <c r="F825" s="9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true" outlineLevel="0" collapsed="false">
      <c r="A826" s="9"/>
      <c r="B826" s="9"/>
      <c r="C826" s="9"/>
      <c r="D826" s="9"/>
      <c r="E826" s="9"/>
      <c r="F826" s="9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true" outlineLevel="0" collapsed="false">
      <c r="A827" s="9"/>
      <c r="B827" s="9"/>
      <c r="C827" s="9"/>
      <c r="D827" s="9"/>
      <c r="E827" s="9"/>
      <c r="F827" s="9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true" outlineLevel="0" collapsed="false">
      <c r="A828" s="9"/>
      <c r="B828" s="9"/>
      <c r="C828" s="9"/>
      <c r="D828" s="9"/>
      <c r="E828" s="9"/>
      <c r="F828" s="9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true" outlineLevel="0" collapsed="false">
      <c r="A829" s="9"/>
      <c r="B829" s="9"/>
      <c r="C829" s="9"/>
      <c r="D829" s="9"/>
      <c r="E829" s="9"/>
      <c r="F829" s="9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true" outlineLevel="0" collapsed="false">
      <c r="A830" s="9"/>
      <c r="B830" s="9"/>
      <c r="C830" s="9"/>
      <c r="D830" s="9"/>
      <c r="E830" s="9"/>
      <c r="F830" s="9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true" outlineLevel="0" collapsed="false">
      <c r="A831" s="9"/>
      <c r="B831" s="9"/>
      <c r="C831" s="9"/>
      <c r="D831" s="9"/>
      <c r="E831" s="9"/>
      <c r="F831" s="9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true" outlineLevel="0" collapsed="false">
      <c r="A832" s="9"/>
      <c r="B832" s="9"/>
      <c r="C832" s="9"/>
      <c r="D832" s="9"/>
      <c r="E832" s="9"/>
      <c r="F832" s="9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true" outlineLevel="0" collapsed="false">
      <c r="A833" s="9"/>
      <c r="B833" s="9"/>
      <c r="C833" s="9"/>
      <c r="D833" s="9"/>
      <c r="E833" s="9"/>
      <c r="F833" s="9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true" outlineLevel="0" collapsed="false">
      <c r="A834" s="9"/>
      <c r="B834" s="9"/>
      <c r="C834" s="9"/>
      <c r="D834" s="9"/>
      <c r="E834" s="9"/>
      <c r="F834" s="9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true" outlineLevel="0" collapsed="false">
      <c r="A835" s="9"/>
      <c r="B835" s="9"/>
      <c r="C835" s="9"/>
      <c r="D835" s="9"/>
      <c r="E835" s="9"/>
      <c r="F835" s="9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true" outlineLevel="0" collapsed="false">
      <c r="A836" s="9"/>
      <c r="B836" s="9"/>
      <c r="C836" s="9"/>
      <c r="D836" s="9"/>
      <c r="E836" s="9"/>
      <c r="F836" s="9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true" outlineLevel="0" collapsed="false">
      <c r="A837" s="9"/>
      <c r="B837" s="9"/>
      <c r="C837" s="9"/>
      <c r="D837" s="9"/>
      <c r="E837" s="9"/>
      <c r="F837" s="9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true" outlineLevel="0" collapsed="false">
      <c r="A838" s="9"/>
      <c r="B838" s="9"/>
      <c r="C838" s="9"/>
      <c r="D838" s="9"/>
      <c r="E838" s="9"/>
      <c r="F838" s="9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true" outlineLevel="0" collapsed="false">
      <c r="A839" s="9"/>
      <c r="B839" s="9"/>
      <c r="C839" s="9"/>
      <c r="D839" s="9"/>
      <c r="E839" s="9"/>
      <c r="F839" s="9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true" outlineLevel="0" collapsed="false">
      <c r="A840" s="9"/>
      <c r="B840" s="9"/>
      <c r="C840" s="9"/>
      <c r="D840" s="9"/>
      <c r="E840" s="9"/>
      <c r="F840" s="9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true" outlineLevel="0" collapsed="false">
      <c r="A841" s="9"/>
      <c r="B841" s="9"/>
      <c r="C841" s="9"/>
      <c r="D841" s="9"/>
      <c r="E841" s="9"/>
      <c r="F841" s="9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true" outlineLevel="0" collapsed="false">
      <c r="A842" s="9"/>
      <c r="B842" s="9"/>
      <c r="C842" s="9"/>
      <c r="D842" s="9"/>
      <c r="E842" s="9"/>
      <c r="F842" s="9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true" outlineLevel="0" collapsed="false">
      <c r="A843" s="9"/>
      <c r="B843" s="9"/>
      <c r="C843" s="9"/>
      <c r="D843" s="9"/>
      <c r="E843" s="9"/>
      <c r="F843" s="9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true" outlineLevel="0" collapsed="false">
      <c r="A844" s="9"/>
      <c r="B844" s="9"/>
      <c r="C844" s="9"/>
      <c r="D844" s="9"/>
      <c r="E844" s="9"/>
      <c r="F844" s="9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true" outlineLevel="0" collapsed="false">
      <c r="A845" s="9"/>
      <c r="B845" s="9"/>
      <c r="C845" s="9"/>
      <c r="D845" s="9"/>
      <c r="E845" s="9"/>
      <c r="F845" s="9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true" outlineLevel="0" collapsed="false">
      <c r="A846" s="9"/>
      <c r="B846" s="9"/>
      <c r="C846" s="9"/>
      <c r="D846" s="9"/>
      <c r="E846" s="9"/>
      <c r="F846" s="9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true" outlineLevel="0" collapsed="false">
      <c r="A847" s="9"/>
      <c r="B847" s="9"/>
      <c r="C847" s="9"/>
      <c r="D847" s="9"/>
      <c r="E847" s="9"/>
      <c r="F847" s="9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true" outlineLevel="0" collapsed="false">
      <c r="A848" s="9"/>
      <c r="B848" s="9"/>
      <c r="C848" s="9"/>
      <c r="D848" s="9"/>
      <c r="E848" s="9"/>
      <c r="F848" s="9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true" outlineLevel="0" collapsed="false">
      <c r="A849" s="9"/>
      <c r="B849" s="9"/>
      <c r="C849" s="9"/>
      <c r="D849" s="9"/>
      <c r="E849" s="9"/>
      <c r="F849" s="9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true" outlineLevel="0" collapsed="false">
      <c r="A850" s="9"/>
      <c r="B850" s="9"/>
      <c r="C850" s="9"/>
      <c r="D850" s="9"/>
      <c r="E850" s="9"/>
      <c r="F850" s="9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true" outlineLevel="0" collapsed="false">
      <c r="A851" s="9"/>
      <c r="B851" s="9"/>
      <c r="C851" s="9"/>
      <c r="D851" s="9"/>
      <c r="E851" s="9"/>
      <c r="F851" s="9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true" outlineLevel="0" collapsed="false">
      <c r="A852" s="9"/>
      <c r="B852" s="9"/>
      <c r="C852" s="9"/>
      <c r="D852" s="9"/>
      <c r="E852" s="9"/>
      <c r="F852" s="9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true" outlineLevel="0" collapsed="false">
      <c r="A853" s="9"/>
      <c r="B853" s="9"/>
      <c r="C853" s="9"/>
      <c r="D853" s="9"/>
      <c r="E853" s="9"/>
      <c r="F853" s="9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true" outlineLevel="0" collapsed="false">
      <c r="A854" s="9"/>
      <c r="B854" s="9"/>
      <c r="C854" s="9"/>
      <c r="D854" s="9"/>
      <c r="E854" s="9"/>
      <c r="F854" s="9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true" outlineLevel="0" collapsed="false">
      <c r="A855" s="9"/>
      <c r="B855" s="9"/>
      <c r="C855" s="9"/>
      <c r="D855" s="9"/>
      <c r="E855" s="9"/>
      <c r="F855" s="9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true" outlineLevel="0" collapsed="false">
      <c r="A856" s="9"/>
      <c r="B856" s="9"/>
      <c r="C856" s="9"/>
      <c r="D856" s="9"/>
      <c r="E856" s="9"/>
      <c r="F856" s="9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true" outlineLevel="0" collapsed="false">
      <c r="A857" s="9"/>
      <c r="B857" s="9"/>
      <c r="C857" s="9"/>
      <c r="D857" s="9"/>
      <c r="E857" s="9"/>
      <c r="F857" s="9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true" outlineLevel="0" collapsed="false">
      <c r="A858" s="9"/>
      <c r="B858" s="9"/>
      <c r="C858" s="9"/>
      <c r="D858" s="9"/>
      <c r="E858" s="9"/>
      <c r="F858" s="9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true" outlineLevel="0" collapsed="false">
      <c r="A859" s="9"/>
      <c r="B859" s="9"/>
      <c r="C859" s="9"/>
      <c r="D859" s="9"/>
      <c r="E859" s="9"/>
      <c r="F859" s="9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true" outlineLevel="0" collapsed="false">
      <c r="A860" s="9"/>
      <c r="B860" s="9"/>
      <c r="C860" s="9"/>
      <c r="D860" s="9"/>
      <c r="E860" s="9"/>
      <c r="F860" s="9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true" outlineLevel="0" collapsed="false">
      <c r="A861" s="9"/>
      <c r="B861" s="9"/>
      <c r="C861" s="9"/>
      <c r="D861" s="9"/>
      <c r="E861" s="9"/>
      <c r="F861" s="9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true" outlineLevel="0" collapsed="false">
      <c r="A862" s="9"/>
      <c r="B862" s="9"/>
      <c r="C862" s="9"/>
      <c r="D862" s="9"/>
      <c r="E862" s="9"/>
      <c r="F862" s="9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true" outlineLevel="0" collapsed="false">
      <c r="A863" s="9"/>
      <c r="B863" s="9"/>
      <c r="C863" s="9"/>
      <c r="D863" s="9"/>
      <c r="E863" s="9"/>
      <c r="F863" s="9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true" outlineLevel="0" collapsed="false">
      <c r="A864" s="9"/>
      <c r="B864" s="9"/>
      <c r="C864" s="9"/>
      <c r="D864" s="9"/>
      <c r="E864" s="9"/>
      <c r="F864" s="9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true" outlineLevel="0" collapsed="false">
      <c r="A865" s="9"/>
      <c r="B865" s="9"/>
      <c r="C865" s="9"/>
      <c r="D865" s="9"/>
      <c r="E865" s="9"/>
      <c r="F865" s="9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true" outlineLevel="0" collapsed="false">
      <c r="A866" s="9"/>
      <c r="B866" s="9"/>
      <c r="C866" s="9"/>
      <c r="D866" s="9"/>
      <c r="E866" s="9"/>
      <c r="F866" s="9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true" outlineLevel="0" collapsed="false">
      <c r="A867" s="9"/>
      <c r="B867" s="9"/>
      <c r="C867" s="9"/>
      <c r="D867" s="9"/>
      <c r="E867" s="9"/>
      <c r="F867" s="9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true" outlineLevel="0" collapsed="false">
      <c r="A868" s="9"/>
      <c r="B868" s="9"/>
      <c r="C868" s="9"/>
      <c r="D868" s="9"/>
      <c r="E868" s="9"/>
      <c r="F868" s="9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true" outlineLevel="0" collapsed="false">
      <c r="A869" s="9"/>
      <c r="B869" s="9"/>
      <c r="C869" s="9"/>
      <c r="D869" s="9"/>
      <c r="E869" s="9"/>
      <c r="F869" s="9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true" outlineLevel="0" collapsed="false">
      <c r="A870" s="9"/>
      <c r="B870" s="9"/>
      <c r="C870" s="9"/>
      <c r="D870" s="9"/>
      <c r="E870" s="9"/>
      <c r="F870" s="9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true" outlineLevel="0" collapsed="false">
      <c r="A871" s="9"/>
      <c r="B871" s="9"/>
      <c r="C871" s="9"/>
      <c r="D871" s="9"/>
      <c r="E871" s="9"/>
      <c r="F871" s="9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true" outlineLevel="0" collapsed="false">
      <c r="A872" s="9"/>
      <c r="B872" s="9"/>
      <c r="C872" s="9"/>
      <c r="D872" s="9"/>
      <c r="E872" s="9"/>
      <c r="F872" s="9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true" outlineLevel="0" collapsed="false">
      <c r="A873" s="9"/>
      <c r="B873" s="9"/>
      <c r="C873" s="9"/>
      <c r="D873" s="9"/>
      <c r="E873" s="9"/>
      <c r="F873" s="9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true" outlineLevel="0" collapsed="false">
      <c r="A874" s="9"/>
      <c r="B874" s="9"/>
      <c r="C874" s="9"/>
      <c r="D874" s="9"/>
      <c r="E874" s="9"/>
      <c r="F874" s="9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true" outlineLevel="0" collapsed="false">
      <c r="A875" s="9"/>
      <c r="B875" s="9"/>
      <c r="C875" s="9"/>
      <c r="D875" s="9"/>
      <c r="E875" s="9"/>
      <c r="F875" s="9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true" outlineLevel="0" collapsed="false">
      <c r="A876" s="9"/>
      <c r="B876" s="9"/>
      <c r="C876" s="9"/>
      <c r="D876" s="9"/>
      <c r="E876" s="9"/>
      <c r="F876" s="9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true" outlineLevel="0" collapsed="false">
      <c r="A877" s="9"/>
      <c r="B877" s="9"/>
      <c r="C877" s="9"/>
      <c r="D877" s="9"/>
      <c r="E877" s="9"/>
      <c r="F877" s="9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true" outlineLevel="0" collapsed="false">
      <c r="A878" s="9"/>
      <c r="B878" s="9"/>
      <c r="C878" s="9"/>
      <c r="D878" s="9"/>
      <c r="E878" s="9"/>
      <c r="F878" s="9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true" outlineLevel="0" collapsed="false">
      <c r="A879" s="9"/>
      <c r="B879" s="9"/>
      <c r="C879" s="9"/>
      <c r="D879" s="9"/>
      <c r="E879" s="9"/>
      <c r="F879" s="9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true" outlineLevel="0" collapsed="false">
      <c r="A880" s="9"/>
      <c r="B880" s="9"/>
      <c r="C880" s="9"/>
      <c r="D880" s="9"/>
      <c r="E880" s="9"/>
      <c r="F880" s="9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true" outlineLevel="0" collapsed="false">
      <c r="A881" s="9"/>
      <c r="B881" s="9"/>
      <c r="C881" s="9"/>
      <c r="D881" s="9"/>
      <c r="E881" s="9"/>
      <c r="F881" s="9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true" outlineLevel="0" collapsed="false">
      <c r="A882" s="9"/>
      <c r="B882" s="9"/>
      <c r="C882" s="9"/>
      <c r="D882" s="9"/>
      <c r="E882" s="9"/>
      <c r="F882" s="9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true" outlineLevel="0" collapsed="false">
      <c r="A883" s="9"/>
      <c r="B883" s="9"/>
      <c r="C883" s="9"/>
      <c r="D883" s="9"/>
      <c r="E883" s="9"/>
      <c r="F883" s="9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true" outlineLevel="0" collapsed="false">
      <c r="A884" s="9"/>
      <c r="B884" s="9"/>
      <c r="C884" s="9"/>
      <c r="D884" s="9"/>
      <c r="E884" s="9"/>
      <c r="F884" s="9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true" outlineLevel="0" collapsed="false">
      <c r="A885" s="9"/>
      <c r="B885" s="9"/>
      <c r="C885" s="9"/>
      <c r="D885" s="9"/>
      <c r="E885" s="9"/>
      <c r="F885" s="9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true" outlineLevel="0" collapsed="false">
      <c r="A886" s="9"/>
      <c r="B886" s="9"/>
      <c r="C886" s="9"/>
      <c r="D886" s="9"/>
      <c r="E886" s="9"/>
      <c r="F886" s="9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true" outlineLevel="0" collapsed="false">
      <c r="A887" s="9"/>
      <c r="B887" s="9"/>
      <c r="C887" s="9"/>
      <c r="D887" s="9"/>
      <c r="E887" s="9"/>
      <c r="F887" s="9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true" outlineLevel="0" collapsed="false">
      <c r="A888" s="9"/>
      <c r="B888" s="9"/>
      <c r="C888" s="9"/>
      <c r="D888" s="9"/>
      <c r="E888" s="9"/>
      <c r="F888" s="9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true" outlineLevel="0" collapsed="false">
      <c r="A889" s="9"/>
      <c r="B889" s="9"/>
      <c r="C889" s="9"/>
      <c r="D889" s="9"/>
      <c r="E889" s="9"/>
      <c r="F889" s="9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true" outlineLevel="0" collapsed="false">
      <c r="A890" s="9"/>
      <c r="B890" s="9"/>
      <c r="C890" s="9"/>
      <c r="D890" s="9"/>
      <c r="E890" s="9"/>
      <c r="F890" s="9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true" outlineLevel="0" collapsed="false">
      <c r="A891" s="9"/>
      <c r="B891" s="9"/>
      <c r="C891" s="9"/>
      <c r="D891" s="9"/>
      <c r="E891" s="9"/>
      <c r="F891" s="9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true" outlineLevel="0" collapsed="false">
      <c r="A892" s="9"/>
      <c r="B892" s="9"/>
      <c r="C892" s="9"/>
      <c r="D892" s="9"/>
      <c r="E892" s="9"/>
      <c r="F892" s="9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true" outlineLevel="0" collapsed="false">
      <c r="A893" s="9"/>
      <c r="B893" s="9"/>
      <c r="C893" s="9"/>
      <c r="D893" s="9"/>
      <c r="E893" s="9"/>
      <c r="F893" s="9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true" outlineLevel="0" collapsed="false">
      <c r="A894" s="9"/>
      <c r="B894" s="9"/>
      <c r="C894" s="9"/>
      <c r="D894" s="9"/>
      <c r="E894" s="9"/>
      <c r="F894" s="9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true" outlineLevel="0" collapsed="false">
      <c r="A895" s="9"/>
      <c r="B895" s="9"/>
      <c r="C895" s="9"/>
      <c r="D895" s="9"/>
      <c r="E895" s="9"/>
      <c r="F895" s="9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true" outlineLevel="0" collapsed="false">
      <c r="A896" s="9"/>
      <c r="B896" s="9"/>
      <c r="C896" s="9"/>
      <c r="D896" s="9"/>
      <c r="E896" s="9"/>
      <c r="F896" s="9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true" outlineLevel="0" collapsed="false">
      <c r="A897" s="9"/>
      <c r="B897" s="9"/>
      <c r="C897" s="9"/>
      <c r="D897" s="9"/>
      <c r="E897" s="9"/>
      <c r="F897" s="9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true" outlineLevel="0" collapsed="false">
      <c r="A898" s="9"/>
      <c r="B898" s="9"/>
      <c r="C898" s="9"/>
      <c r="D898" s="9"/>
      <c r="E898" s="9"/>
      <c r="F898" s="9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true" outlineLevel="0" collapsed="false">
      <c r="A899" s="9"/>
      <c r="B899" s="9"/>
      <c r="C899" s="9"/>
      <c r="D899" s="9"/>
      <c r="E899" s="9"/>
      <c r="F899" s="9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true" outlineLevel="0" collapsed="false">
      <c r="A900" s="9"/>
      <c r="B900" s="9"/>
      <c r="C900" s="9"/>
      <c r="D900" s="9"/>
      <c r="E900" s="9"/>
      <c r="F900" s="9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true" outlineLevel="0" collapsed="false">
      <c r="A901" s="9"/>
      <c r="B901" s="9"/>
      <c r="C901" s="9"/>
      <c r="D901" s="9"/>
      <c r="E901" s="9"/>
      <c r="F901" s="9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true" outlineLevel="0" collapsed="false">
      <c r="A902" s="9"/>
      <c r="B902" s="9"/>
      <c r="C902" s="9"/>
      <c r="D902" s="9"/>
      <c r="E902" s="9"/>
      <c r="F902" s="9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true" outlineLevel="0" collapsed="false">
      <c r="A903" s="9"/>
      <c r="B903" s="9"/>
      <c r="C903" s="9"/>
      <c r="D903" s="9"/>
      <c r="E903" s="9"/>
      <c r="F903" s="9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true" outlineLevel="0" collapsed="false">
      <c r="A904" s="9"/>
      <c r="B904" s="9"/>
      <c r="C904" s="9"/>
      <c r="D904" s="9"/>
      <c r="E904" s="9"/>
      <c r="F904" s="9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true" outlineLevel="0" collapsed="false">
      <c r="A905" s="9"/>
      <c r="B905" s="9"/>
      <c r="C905" s="9"/>
      <c r="D905" s="9"/>
      <c r="E905" s="9"/>
      <c r="F905" s="9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true" outlineLevel="0" collapsed="false">
      <c r="A906" s="9"/>
      <c r="B906" s="9"/>
      <c r="C906" s="9"/>
      <c r="D906" s="9"/>
      <c r="E906" s="9"/>
      <c r="F906" s="9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true" outlineLevel="0" collapsed="false">
      <c r="A907" s="9"/>
      <c r="B907" s="9"/>
      <c r="C907" s="9"/>
      <c r="D907" s="9"/>
      <c r="E907" s="9"/>
      <c r="F907" s="9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true" outlineLevel="0" collapsed="false">
      <c r="A908" s="9"/>
      <c r="B908" s="9"/>
      <c r="C908" s="9"/>
      <c r="D908" s="9"/>
      <c r="E908" s="9"/>
      <c r="F908" s="9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true" outlineLevel="0" collapsed="false">
      <c r="A909" s="9"/>
      <c r="B909" s="9"/>
      <c r="C909" s="9"/>
      <c r="D909" s="9"/>
      <c r="E909" s="9"/>
      <c r="F909" s="9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true" outlineLevel="0" collapsed="false">
      <c r="A910" s="9"/>
      <c r="B910" s="9"/>
      <c r="C910" s="9"/>
      <c r="D910" s="9"/>
      <c r="E910" s="9"/>
      <c r="F910" s="9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true" outlineLevel="0" collapsed="false">
      <c r="A911" s="9"/>
      <c r="B911" s="9"/>
      <c r="C911" s="9"/>
      <c r="D911" s="9"/>
      <c r="E911" s="9"/>
      <c r="F911" s="9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true" outlineLevel="0" collapsed="false">
      <c r="A912" s="9"/>
      <c r="B912" s="9"/>
      <c r="C912" s="9"/>
      <c r="D912" s="9"/>
      <c r="E912" s="9"/>
      <c r="F912" s="9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true" outlineLevel="0" collapsed="false">
      <c r="A913" s="9"/>
      <c r="B913" s="9"/>
      <c r="C913" s="9"/>
      <c r="D913" s="9"/>
      <c r="E913" s="9"/>
      <c r="F913" s="9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true" outlineLevel="0" collapsed="false">
      <c r="A914" s="9"/>
      <c r="B914" s="9"/>
      <c r="C914" s="9"/>
      <c r="D914" s="9"/>
      <c r="E914" s="9"/>
      <c r="F914" s="9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true" outlineLevel="0" collapsed="false">
      <c r="A915" s="9"/>
      <c r="B915" s="9"/>
      <c r="C915" s="9"/>
      <c r="D915" s="9"/>
      <c r="E915" s="9"/>
      <c r="F915" s="9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true" outlineLevel="0" collapsed="false">
      <c r="A916" s="9"/>
      <c r="B916" s="9"/>
      <c r="C916" s="9"/>
      <c r="D916" s="9"/>
      <c r="E916" s="9"/>
      <c r="F916" s="9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true" outlineLevel="0" collapsed="false">
      <c r="A917" s="9"/>
      <c r="B917" s="9"/>
      <c r="C917" s="9"/>
      <c r="D917" s="9"/>
      <c r="E917" s="9"/>
      <c r="F917" s="9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true" outlineLevel="0" collapsed="false">
      <c r="A918" s="9"/>
      <c r="B918" s="9"/>
      <c r="C918" s="9"/>
      <c r="D918" s="9"/>
      <c r="E918" s="9"/>
      <c r="F918" s="9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true" outlineLevel="0" collapsed="false">
      <c r="A919" s="9"/>
      <c r="B919" s="9"/>
      <c r="C919" s="9"/>
      <c r="D919" s="9"/>
      <c r="E919" s="9"/>
      <c r="F919" s="9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true" outlineLevel="0" collapsed="false">
      <c r="A920" s="9"/>
      <c r="B920" s="9"/>
      <c r="C920" s="9"/>
      <c r="D920" s="9"/>
      <c r="E920" s="9"/>
      <c r="F920" s="9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true" outlineLevel="0" collapsed="false">
      <c r="A921" s="9"/>
      <c r="B921" s="9"/>
      <c r="C921" s="9"/>
      <c r="D921" s="9"/>
      <c r="E921" s="9"/>
      <c r="F921" s="9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true" outlineLevel="0" collapsed="false">
      <c r="A922" s="9"/>
      <c r="B922" s="9"/>
      <c r="C922" s="9"/>
      <c r="D922" s="9"/>
      <c r="E922" s="9"/>
      <c r="F922" s="9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true" outlineLevel="0" collapsed="false">
      <c r="A923" s="9"/>
      <c r="B923" s="9"/>
      <c r="C923" s="9"/>
      <c r="D923" s="9"/>
      <c r="E923" s="9"/>
      <c r="F923" s="9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true" outlineLevel="0" collapsed="false">
      <c r="A924" s="9"/>
      <c r="B924" s="9"/>
      <c r="C924" s="9"/>
      <c r="D924" s="9"/>
      <c r="E924" s="9"/>
      <c r="F924" s="9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true" outlineLevel="0" collapsed="false">
      <c r="A925" s="9"/>
      <c r="B925" s="9"/>
      <c r="C925" s="9"/>
      <c r="D925" s="9"/>
      <c r="E925" s="9"/>
      <c r="F925" s="9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true" outlineLevel="0" collapsed="false">
      <c r="A926" s="9"/>
      <c r="B926" s="9"/>
      <c r="C926" s="9"/>
      <c r="D926" s="9"/>
      <c r="E926" s="9"/>
      <c r="F926" s="9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true" outlineLevel="0" collapsed="false">
      <c r="A927" s="9"/>
      <c r="B927" s="9"/>
      <c r="C927" s="9"/>
      <c r="D927" s="9"/>
      <c r="E927" s="9"/>
      <c r="F927" s="9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true" outlineLevel="0" collapsed="false">
      <c r="A928" s="9"/>
      <c r="B928" s="9"/>
      <c r="C928" s="9"/>
      <c r="D928" s="9"/>
      <c r="E928" s="9"/>
      <c r="F928" s="9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true" outlineLevel="0" collapsed="false">
      <c r="A929" s="9"/>
      <c r="B929" s="9"/>
      <c r="C929" s="9"/>
      <c r="D929" s="9"/>
      <c r="E929" s="9"/>
      <c r="F929" s="9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true" outlineLevel="0" collapsed="false">
      <c r="A930" s="9"/>
      <c r="B930" s="9"/>
      <c r="C930" s="9"/>
      <c r="D930" s="9"/>
      <c r="E930" s="9"/>
      <c r="F930" s="9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true" outlineLevel="0" collapsed="false">
      <c r="A931" s="9"/>
      <c r="B931" s="9"/>
      <c r="C931" s="9"/>
      <c r="D931" s="9"/>
      <c r="E931" s="9"/>
      <c r="F931" s="9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true" outlineLevel="0" collapsed="false">
      <c r="A932" s="9"/>
      <c r="B932" s="9"/>
      <c r="C932" s="9"/>
      <c r="D932" s="9"/>
      <c r="E932" s="9"/>
      <c r="F932" s="9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true" outlineLevel="0" collapsed="false">
      <c r="A933" s="9"/>
      <c r="B933" s="9"/>
      <c r="C933" s="9"/>
      <c r="D933" s="9"/>
      <c r="E933" s="9"/>
      <c r="F933" s="9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true" outlineLevel="0" collapsed="false">
      <c r="A934" s="9"/>
      <c r="B934" s="9"/>
      <c r="C934" s="9"/>
      <c r="D934" s="9"/>
      <c r="E934" s="9"/>
      <c r="F934" s="9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true" outlineLevel="0" collapsed="false">
      <c r="A935" s="9"/>
      <c r="B935" s="9"/>
      <c r="C935" s="9"/>
      <c r="D935" s="9"/>
      <c r="E935" s="9"/>
      <c r="F935" s="9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true" outlineLevel="0" collapsed="false">
      <c r="A936" s="9"/>
      <c r="B936" s="9"/>
      <c r="C936" s="9"/>
      <c r="D936" s="9"/>
      <c r="E936" s="9"/>
      <c r="F936" s="9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true" outlineLevel="0" collapsed="false">
      <c r="A937" s="9"/>
      <c r="B937" s="9"/>
      <c r="C937" s="9"/>
      <c r="D937" s="9"/>
      <c r="E937" s="9"/>
      <c r="F937" s="9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true" outlineLevel="0" collapsed="false">
      <c r="A938" s="9"/>
      <c r="B938" s="9"/>
      <c r="C938" s="9"/>
      <c r="D938" s="9"/>
      <c r="E938" s="9"/>
      <c r="F938" s="9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true" outlineLevel="0" collapsed="false">
      <c r="A939" s="9"/>
      <c r="B939" s="9"/>
      <c r="C939" s="9"/>
      <c r="D939" s="9"/>
      <c r="E939" s="9"/>
      <c r="F939" s="9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true" outlineLevel="0" collapsed="false">
      <c r="A940" s="9"/>
      <c r="B940" s="9"/>
      <c r="C940" s="9"/>
      <c r="D940" s="9"/>
      <c r="E940" s="9"/>
      <c r="F940" s="9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true" outlineLevel="0" collapsed="false">
      <c r="A941" s="9"/>
      <c r="B941" s="9"/>
      <c r="C941" s="9"/>
      <c r="D941" s="9"/>
      <c r="E941" s="9"/>
      <c r="F941" s="9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true" outlineLevel="0" collapsed="false">
      <c r="A942" s="9"/>
      <c r="B942" s="9"/>
      <c r="C942" s="9"/>
      <c r="D942" s="9"/>
      <c r="E942" s="9"/>
      <c r="F942" s="9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true" outlineLevel="0" collapsed="false">
      <c r="A943" s="9"/>
      <c r="B943" s="9"/>
      <c r="C943" s="9"/>
      <c r="D943" s="9"/>
      <c r="E943" s="9"/>
      <c r="F943" s="9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true" outlineLevel="0" collapsed="false">
      <c r="A944" s="9"/>
      <c r="B944" s="9"/>
      <c r="C944" s="9"/>
      <c r="D944" s="9"/>
      <c r="E944" s="9"/>
      <c r="F944" s="9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true" outlineLevel="0" collapsed="false">
      <c r="A945" s="9"/>
      <c r="B945" s="9"/>
      <c r="C945" s="9"/>
      <c r="D945" s="9"/>
      <c r="E945" s="9"/>
      <c r="F945" s="9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true" outlineLevel="0" collapsed="false">
      <c r="A946" s="9"/>
      <c r="B946" s="9"/>
      <c r="C946" s="9"/>
      <c r="D946" s="9"/>
      <c r="E946" s="9"/>
      <c r="F946" s="9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true" outlineLevel="0" collapsed="false">
      <c r="A947" s="9"/>
      <c r="B947" s="9"/>
      <c r="C947" s="9"/>
      <c r="D947" s="9"/>
      <c r="E947" s="9"/>
      <c r="F947" s="9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true" outlineLevel="0" collapsed="false">
      <c r="A948" s="9"/>
      <c r="B948" s="9"/>
      <c r="C948" s="9"/>
      <c r="D948" s="9"/>
      <c r="E948" s="9"/>
      <c r="F948" s="9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true" outlineLevel="0" collapsed="false">
      <c r="A949" s="9"/>
      <c r="B949" s="9"/>
      <c r="C949" s="9"/>
      <c r="D949" s="9"/>
      <c r="E949" s="9"/>
      <c r="F949" s="9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true" outlineLevel="0" collapsed="false">
      <c r="A950" s="9"/>
      <c r="B950" s="9"/>
      <c r="C950" s="9"/>
      <c r="D950" s="9"/>
      <c r="E950" s="9"/>
      <c r="F950" s="9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true" outlineLevel="0" collapsed="false">
      <c r="A951" s="9"/>
      <c r="B951" s="9"/>
      <c r="C951" s="9"/>
      <c r="D951" s="9"/>
      <c r="E951" s="9"/>
      <c r="F951" s="9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true" outlineLevel="0" collapsed="false">
      <c r="A952" s="9"/>
      <c r="B952" s="9"/>
      <c r="C952" s="9"/>
      <c r="D952" s="9"/>
      <c r="E952" s="9"/>
      <c r="F952" s="9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true" outlineLevel="0" collapsed="false">
      <c r="A953" s="9"/>
      <c r="B953" s="9"/>
      <c r="C953" s="9"/>
      <c r="D953" s="9"/>
      <c r="E953" s="9"/>
      <c r="F953" s="9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true" outlineLevel="0" collapsed="false">
      <c r="A954" s="9"/>
      <c r="B954" s="9"/>
      <c r="C954" s="9"/>
      <c r="D954" s="9"/>
      <c r="E954" s="9"/>
      <c r="F954" s="9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true" outlineLevel="0" collapsed="false">
      <c r="A955" s="9"/>
      <c r="B955" s="9"/>
      <c r="C955" s="9"/>
      <c r="D955" s="9"/>
      <c r="E955" s="9"/>
      <c r="F955" s="9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true" outlineLevel="0" collapsed="false">
      <c r="A956" s="9"/>
      <c r="B956" s="9"/>
      <c r="C956" s="9"/>
      <c r="D956" s="9"/>
      <c r="E956" s="9"/>
      <c r="F956" s="9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true" outlineLevel="0" collapsed="false">
      <c r="A957" s="9"/>
      <c r="B957" s="9"/>
      <c r="C957" s="9"/>
      <c r="D957" s="9"/>
      <c r="E957" s="9"/>
      <c r="F957" s="9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true" outlineLevel="0" collapsed="false">
      <c r="A958" s="9"/>
      <c r="B958" s="9"/>
      <c r="C958" s="9"/>
      <c r="D958" s="9"/>
      <c r="E958" s="9"/>
      <c r="F958" s="9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true" outlineLevel="0" collapsed="false">
      <c r="A959" s="9"/>
      <c r="B959" s="9"/>
      <c r="C959" s="9"/>
      <c r="D959" s="9"/>
      <c r="E959" s="9"/>
      <c r="F959" s="9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true" outlineLevel="0" collapsed="false">
      <c r="A960" s="9"/>
      <c r="B960" s="9"/>
      <c r="C960" s="9"/>
      <c r="D960" s="9"/>
      <c r="E960" s="9"/>
      <c r="F960" s="9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true" outlineLevel="0" collapsed="false">
      <c r="A961" s="9"/>
      <c r="B961" s="9"/>
      <c r="C961" s="9"/>
      <c r="D961" s="9"/>
      <c r="E961" s="9"/>
      <c r="F961" s="9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true" outlineLevel="0" collapsed="false">
      <c r="A962" s="9"/>
      <c r="B962" s="9"/>
      <c r="C962" s="9"/>
      <c r="D962" s="9"/>
      <c r="E962" s="9"/>
      <c r="F962" s="9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true" outlineLevel="0" collapsed="false">
      <c r="A963" s="9"/>
      <c r="B963" s="9"/>
      <c r="C963" s="9"/>
      <c r="D963" s="9"/>
      <c r="E963" s="9"/>
      <c r="F963" s="9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true" outlineLevel="0" collapsed="false">
      <c r="A964" s="9"/>
      <c r="B964" s="9"/>
      <c r="C964" s="9"/>
      <c r="D964" s="9"/>
      <c r="E964" s="9"/>
      <c r="F964" s="9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true" outlineLevel="0" collapsed="false">
      <c r="A965" s="9"/>
      <c r="B965" s="9"/>
      <c r="C965" s="9"/>
      <c r="D965" s="9"/>
      <c r="E965" s="9"/>
      <c r="F965" s="9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true" outlineLevel="0" collapsed="false">
      <c r="A966" s="9"/>
      <c r="B966" s="9"/>
      <c r="C966" s="9"/>
      <c r="D966" s="9"/>
      <c r="E966" s="9"/>
      <c r="F966" s="9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true" outlineLevel="0" collapsed="false">
      <c r="A967" s="9"/>
      <c r="B967" s="9"/>
      <c r="C967" s="9"/>
      <c r="D967" s="9"/>
      <c r="E967" s="9"/>
      <c r="F967" s="9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true" outlineLevel="0" collapsed="false">
      <c r="A968" s="9"/>
      <c r="B968" s="9"/>
      <c r="C968" s="9"/>
      <c r="D968" s="9"/>
      <c r="E968" s="9"/>
      <c r="F968" s="9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true" outlineLevel="0" collapsed="false">
      <c r="A969" s="9"/>
      <c r="B969" s="9"/>
      <c r="C969" s="9"/>
      <c r="D969" s="9"/>
      <c r="E969" s="9"/>
      <c r="F969" s="9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true" outlineLevel="0" collapsed="false">
      <c r="A970" s="9"/>
      <c r="B970" s="9"/>
      <c r="C970" s="9"/>
      <c r="D970" s="9"/>
      <c r="E970" s="9"/>
      <c r="F970" s="9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true" outlineLevel="0" collapsed="false">
      <c r="A971" s="9"/>
      <c r="B971" s="9"/>
      <c r="C971" s="9"/>
      <c r="D971" s="9"/>
      <c r="E971" s="9"/>
      <c r="F971" s="9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true" outlineLevel="0" collapsed="false">
      <c r="A972" s="9"/>
      <c r="B972" s="9"/>
      <c r="C972" s="9"/>
      <c r="D972" s="9"/>
      <c r="E972" s="9"/>
      <c r="F972" s="9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true" outlineLevel="0" collapsed="false">
      <c r="A973" s="9"/>
      <c r="B973" s="9"/>
      <c r="C973" s="9"/>
      <c r="D973" s="9"/>
      <c r="E973" s="9"/>
      <c r="F973" s="9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true" outlineLevel="0" collapsed="false">
      <c r="A974" s="9"/>
      <c r="B974" s="9"/>
      <c r="C974" s="9"/>
      <c r="D974" s="9"/>
      <c r="E974" s="9"/>
      <c r="F974" s="9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true" outlineLevel="0" collapsed="false">
      <c r="A975" s="9"/>
      <c r="B975" s="9"/>
      <c r="C975" s="9"/>
      <c r="D975" s="9"/>
      <c r="E975" s="9"/>
      <c r="F975" s="9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true" outlineLevel="0" collapsed="false">
      <c r="A976" s="9"/>
      <c r="B976" s="9"/>
      <c r="C976" s="9"/>
      <c r="D976" s="9"/>
      <c r="E976" s="9"/>
      <c r="F976" s="9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true" outlineLevel="0" collapsed="false">
      <c r="A977" s="9"/>
      <c r="B977" s="9"/>
      <c r="C977" s="9"/>
      <c r="D977" s="9"/>
      <c r="E977" s="9"/>
      <c r="F977" s="9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true" outlineLevel="0" collapsed="false">
      <c r="A978" s="9"/>
      <c r="B978" s="9"/>
      <c r="C978" s="9"/>
      <c r="D978" s="9"/>
      <c r="E978" s="9"/>
      <c r="F978" s="9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.75" hidden="false" customHeight="true" outlineLevel="0" collapsed="false">
      <c r="A979" s="9"/>
      <c r="B979" s="9"/>
      <c r="C979" s="9"/>
      <c r="D979" s="9"/>
      <c r="E979" s="9"/>
      <c r="F979" s="9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.75" hidden="false" customHeight="true" outlineLevel="0" collapsed="false">
      <c r="A980" s="9"/>
      <c r="B980" s="9"/>
      <c r="C980" s="9"/>
      <c r="D980" s="9"/>
      <c r="E980" s="9"/>
      <c r="F980" s="9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.75" hidden="false" customHeight="true" outlineLevel="0" collapsed="false">
      <c r="A981" s="9"/>
      <c r="B981" s="9"/>
      <c r="C981" s="9"/>
      <c r="D981" s="9"/>
      <c r="E981" s="9"/>
      <c r="F981" s="9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.75" hidden="false" customHeight="true" outlineLevel="0" collapsed="false">
      <c r="A982" s="9"/>
      <c r="B982" s="9"/>
      <c r="C982" s="9"/>
      <c r="D982" s="9"/>
      <c r="E982" s="9"/>
      <c r="F982" s="9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.75" hidden="false" customHeight="true" outlineLevel="0" collapsed="false">
      <c r="A983" s="9"/>
      <c r="B983" s="9"/>
      <c r="C983" s="9"/>
      <c r="D983" s="9"/>
      <c r="E983" s="9"/>
      <c r="F983" s="9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true" outlineLevel="0" collapsed="false">
      <c r="A984" s="9"/>
      <c r="B984" s="9"/>
      <c r="C984" s="9"/>
      <c r="D984" s="9"/>
      <c r="E984" s="9"/>
      <c r="F984" s="9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.75" hidden="false" customHeight="true" outlineLevel="0" collapsed="false">
      <c r="A985" s="9"/>
      <c r="B985" s="9"/>
      <c r="C985" s="9"/>
      <c r="D985" s="9"/>
      <c r="E985" s="9"/>
      <c r="F985" s="9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true" outlineLevel="0" collapsed="false">
      <c r="A986" s="9"/>
      <c r="B986" s="9"/>
      <c r="C986" s="9"/>
      <c r="D986" s="9"/>
      <c r="E986" s="9"/>
      <c r="F986" s="9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true" outlineLevel="0" collapsed="false">
      <c r="A987" s="9"/>
      <c r="B987" s="9"/>
      <c r="C987" s="9"/>
      <c r="D987" s="9"/>
      <c r="E987" s="9"/>
      <c r="F987" s="9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.75" hidden="false" customHeight="true" outlineLevel="0" collapsed="false">
      <c r="A988" s="9"/>
      <c r="B988" s="9"/>
      <c r="C988" s="9"/>
      <c r="D988" s="9"/>
      <c r="E988" s="9"/>
      <c r="F988" s="9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true" outlineLevel="0" collapsed="false">
      <c r="A989" s="9"/>
      <c r="B989" s="9"/>
      <c r="C989" s="9"/>
      <c r="D989" s="9"/>
      <c r="E989" s="9"/>
      <c r="F989" s="9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.75" hidden="false" customHeight="true" outlineLevel="0" collapsed="false">
      <c r="A990" s="9"/>
      <c r="B990" s="9"/>
      <c r="C990" s="9"/>
      <c r="D990" s="9"/>
      <c r="E990" s="9"/>
      <c r="F990" s="9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true" outlineLevel="0" collapsed="false">
      <c r="A991" s="9"/>
      <c r="B991" s="9"/>
      <c r="C991" s="9"/>
      <c r="D991" s="9"/>
      <c r="E991" s="9"/>
      <c r="F991" s="9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true" outlineLevel="0" collapsed="false">
      <c r="A992" s="9"/>
      <c r="B992" s="9"/>
      <c r="C992" s="9"/>
      <c r="D992" s="9"/>
      <c r="E992" s="9"/>
      <c r="F992" s="9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.75" hidden="false" customHeight="true" outlineLevel="0" collapsed="false">
      <c r="A993" s="9"/>
      <c r="B993" s="9"/>
      <c r="C993" s="9"/>
      <c r="D993" s="9"/>
      <c r="E993" s="9"/>
      <c r="F993" s="9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true" outlineLevel="0" collapsed="false">
      <c r="A994" s="9"/>
      <c r="B994" s="9"/>
      <c r="C994" s="9"/>
      <c r="D994" s="9"/>
      <c r="E994" s="9"/>
      <c r="F994" s="9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true" outlineLevel="0" collapsed="false">
      <c r="A995" s="9"/>
      <c r="B995" s="9"/>
      <c r="C995" s="9"/>
      <c r="D995" s="9"/>
      <c r="E995" s="9"/>
      <c r="F995" s="9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true" outlineLevel="0" collapsed="false">
      <c r="A996" s="9"/>
      <c r="B996" s="9"/>
      <c r="C996" s="9"/>
      <c r="D996" s="9"/>
      <c r="E996" s="9"/>
      <c r="F996" s="9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true" outlineLevel="0" collapsed="false">
      <c r="A997" s="9"/>
      <c r="B997" s="9"/>
      <c r="C997" s="9"/>
      <c r="D997" s="9"/>
      <c r="E997" s="9"/>
      <c r="F997" s="9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true" outlineLevel="0" collapsed="false">
      <c r="A998" s="9"/>
      <c r="B998" s="9"/>
      <c r="C998" s="9"/>
      <c r="D998" s="9"/>
      <c r="E998" s="9"/>
      <c r="F998" s="9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true" outlineLevel="0" collapsed="false">
      <c r="A999" s="9"/>
      <c r="B999" s="9"/>
      <c r="C999" s="9"/>
      <c r="D999" s="9"/>
      <c r="E999" s="9"/>
      <c r="F999" s="9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.75" hidden="false" customHeight="true" outlineLevel="0" collapsed="false">
      <c r="A1000" s="9"/>
      <c r="B1000" s="9"/>
      <c r="C1000" s="9"/>
      <c r="D1000" s="9"/>
      <c r="E1000" s="9"/>
      <c r="F1000" s="9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11" min="6" style="0" width="8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8"/>
  </cols>
  <sheetData>
    <row r="1" customFormat="false" ht="24.75" hidden="false" customHeight="true" outlineLevel="0" collapsed="false">
      <c r="A1" s="10" t="s">
        <v>462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18" hidden="false" customHeight="true" outlineLevel="0" collapsed="false">
      <c r="A2" s="11" t="s">
        <v>463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4.5" hidden="false" customHeight="true" outlineLevel="0" collapsed="false"/>
    <row r="4" customFormat="false" ht="21.75" hidden="false" customHeight="true" outlineLevel="0" collapsed="false">
      <c r="A4" s="12" t="s">
        <v>464</v>
      </c>
      <c r="B4" s="12" t="s">
        <v>465</v>
      </c>
      <c r="C4" s="12" t="s">
        <v>466</v>
      </c>
      <c r="D4" s="12" t="s">
        <v>467</v>
      </c>
      <c r="E4" s="12" t="s">
        <v>468</v>
      </c>
      <c r="F4" s="12" t="s">
        <v>469</v>
      </c>
      <c r="G4" s="12" t="s">
        <v>470</v>
      </c>
      <c r="H4" s="12" t="s">
        <v>471</v>
      </c>
      <c r="I4" s="12" t="s">
        <v>472</v>
      </c>
      <c r="J4" s="12" t="s">
        <v>473</v>
      </c>
      <c r="K4" s="12" t="s">
        <v>474</v>
      </c>
      <c r="L4" s="12" t="s">
        <v>475</v>
      </c>
      <c r="M4" s="12" t="s">
        <v>476</v>
      </c>
      <c r="N4" s="12" t="s">
        <v>6</v>
      </c>
      <c r="O4" s="12" t="s">
        <v>439</v>
      </c>
    </row>
    <row r="5" customFormat="false" ht="18" hidden="false" customHeight="true" outlineLevel="0" collapsed="false">
      <c r="A5" s="13" t="s">
        <v>477</v>
      </c>
      <c r="B5" s="14" t="s">
        <v>478</v>
      </c>
      <c r="C5" s="15" t="s">
        <v>479</v>
      </c>
      <c r="D5" s="13" t="s">
        <v>480</v>
      </c>
      <c r="E5" s="13" t="s">
        <v>481</v>
      </c>
      <c r="F5" s="13"/>
      <c r="G5" s="13"/>
      <c r="H5" s="13"/>
      <c r="I5" s="13"/>
      <c r="J5" s="13"/>
      <c r="K5" s="13"/>
      <c r="L5" s="13" t="s">
        <v>480</v>
      </c>
      <c r="M5" s="13" t="s">
        <v>480</v>
      </c>
      <c r="N5" s="16" t="s">
        <v>482</v>
      </c>
      <c r="O5" s="17" t="s">
        <v>483</v>
      </c>
    </row>
    <row r="6" customFormat="false" ht="18" hidden="false" customHeight="true" outlineLevel="0" collapsed="false">
      <c r="A6" s="18" t="s">
        <v>484</v>
      </c>
      <c r="B6" s="19" t="s">
        <v>485</v>
      </c>
      <c r="C6" s="20" t="s">
        <v>44</v>
      </c>
      <c r="D6" s="18" t="s">
        <v>480</v>
      </c>
      <c r="E6" s="18" t="s">
        <v>486</v>
      </c>
      <c r="F6" s="18"/>
      <c r="G6" s="18"/>
      <c r="H6" s="18"/>
      <c r="I6" s="18"/>
      <c r="J6" s="18"/>
      <c r="K6" s="18"/>
      <c r="L6" s="18" t="s">
        <v>480</v>
      </c>
      <c r="M6" s="18" t="s">
        <v>480</v>
      </c>
      <c r="N6" s="16" t="s">
        <v>482</v>
      </c>
      <c r="O6" s="21" t="s">
        <v>483</v>
      </c>
    </row>
    <row r="7" customFormat="false" ht="18" hidden="false" customHeight="true" outlineLevel="0" collapsed="false">
      <c r="A7" s="13" t="s">
        <v>487</v>
      </c>
      <c r="B7" s="14" t="s">
        <v>488</v>
      </c>
      <c r="C7" s="15" t="s">
        <v>489</v>
      </c>
      <c r="D7" s="22" t="s">
        <v>490</v>
      </c>
      <c r="E7" s="13" t="s">
        <v>491</v>
      </c>
      <c r="F7" s="22" t="n">
        <v>0</v>
      </c>
      <c r="G7" s="22" t="n">
        <v>0</v>
      </c>
      <c r="H7" s="22" t="n">
        <v>2</v>
      </c>
      <c r="I7" s="13"/>
      <c r="J7" s="13"/>
      <c r="K7" s="13"/>
      <c r="L7" s="23" t="n">
        <f aca="false">H7/24</f>
        <v>0.0833333333333333</v>
      </c>
      <c r="M7" s="13" t="s">
        <v>492</v>
      </c>
      <c r="N7" s="24" t="s">
        <v>493</v>
      </c>
      <c r="O7" s="17" t="s">
        <v>494</v>
      </c>
    </row>
    <row r="8" customFormat="false" ht="18" hidden="false" customHeight="true" outlineLevel="0" collapsed="false">
      <c r="A8" s="18" t="s">
        <v>495</v>
      </c>
      <c r="B8" s="19" t="s">
        <v>496</v>
      </c>
      <c r="C8" s="20" t="s">
        <v>497</v>
      </c>
      <c r="D8" s="25" t="s">
        <v>498</v>
      </c>
      <c r="E8" s="18" t="s">
        <v>499</v>
      </c>
      <c r="F8" s="18"/>
      <c r="G8" s="18"/>
      <c r="H8" s="18"/>
      <c r="I8" s="18"/>
      <c r="J8" s="18"/>
      <c r="K8" s="18"/>
      <c r="L8" s="18" t="s">
        <v>480</v>
      </c>
      <c r="M8" s="18" t="s">
        <v>480</v>
      </c>
      <c r="N8" s="16" t="s">
        <v>482</v>
      </c>
      <c r="O8" s="21" t="s">
        <v>483</v>
      </c>
    </row>
    <row r="9" customFormat="false" ht="18" hidden="false" customHeight="true" outlineLevel="0" collapsed="false">
      <c r="A9" s="13" t="s">
        <v>500</v>
      </c>
      <c r="B9" s="14" t="s">
        <v>501</v>
      </c>
      <c r="C9" s="15" t="s">
        <v>502</v>
      </c>
      <c r="D9" s="22" t="s">
        <v>503</v>
      </c>
      <c r="E9" s="13" t="s">
        <v>504</v>
      </c>
      <c r="F9" s="22" t="n">
        <v>20750</v>
      </c>
      <c r="G9" s="22" t="n">
        <v>21050</v>
      </c>
      <c r="H9" s="22" t="n">
        <v>21215</v>
      </c>
      <c r="I9" s="13"/>
      <c r="J9" s="13"/>
      <c r="K9" s="13"/>
      <c r="L9" s="23" t="n">
        <f aca="false">(H9-D9)/(E9-D9)</f>
        <v>0.0955585464333782</v>
      </c>
      <c r="M9" s="13" t="s">
        <v>492</v>
      </c>
      <c r="N9" s="24" t="s">
        <v>505</v>
      </c>
      <c r="O9" s="17" t="s">
        <v>506</v>
      </c>
    </row>
    <row r="10" customFormat="false" ht="18" hidden="false" customHeight="true" outlineLevel="0" collapsed="false">
      <c r="A10" s="18" t="s">
        <v>507</v>
      </c>
      <c r="B10" s="19" t="s">
        <v>508</v>
      </c>
      <c r="C10" s="20" t="s">
        <v>509</v>
      </c>
      <c r="D10" s="25" t="s">
        <v>510</v>
      </c>
      <c r="E10" s="18" t="s">
        <v>511</v>
      </c>
      <c r="F10" s="18"/>
      <c r="G10" s="18"/>
      <c r="H10" s="18"/>
      <c r="I10" s="18"/>
      <c r="J10" s="18"/>
      <c r="K10" s="18"/>
      <c r="L10" s="18" t="s">
        <v>480</v>
      </c>
      <c r="M10" s="18" t="s">
        <v>480</v>
      </c>
      <c r="N10" s="16" t="s">
        <v>482</v>
      </c>
      <c r="O10" s="21" t="s">
        <v>483</v>
      </c>
    </row>
    <row r="11" customFormat="false" ht="4.5" hidden="false" customHeight="true" outlineLevel="0" collapsed="false"/>
    <row r="12" customFormat="false" ht="13.5" hidden="false" customHeight="true" outlineLevel="0" collapsed="false">
      <c r="A12" s="26" t="s">
        <v>512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customFormat="false" ht="13.5" hidden="false" customHeight="true" outlineLevel="0" collapsed="false">
      <c r="A13" s="27" t="s">
        <v>513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customFormat="false" ht="13.5" hidden="false" customHeight="true" outlineLevel="0" collapsed="false">
      <c r="A14" s="27" t="s">
        <v>514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customFormat="false" ht="13.5" hidden="false" customHeight="true" outlineLevel="0" collapsed="false">
      <c r="A15" s="27" t="s">
        <v>515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customFormat="false" ht="13.5" hidden="false" customHeight="true" outlineLevel="0" collapsed="false">
      <c r="A16" s="27" t="s">
        <v>516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customFormat="false" ht="13.5" hidden="false" customHeight="true" outlineLevel="0" collapsed="false">
      <c r="A17" s="27" t="s">
        <v>517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</sheetData>
  <mergeCells count="8">
    <mergeCell ref="A1:O1"/>
    <mergeCell ref="A2:O2"/>
    <mergeCell ref="A12:O12"/>
    <mergeCell ref="A13:O13"/>
    <mergeCell ref="A14:O14"/>
    <mergeCell ref="A15:O15"/>
    <mergeCell ref="A16:O16"/>
    <mergeCell ref="A17:O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2026-03-11T22:32:59Z</dcterms:created>
  <dc:creator>openpyxl</dc:creator>
  <dc:description/>
  <dc:language>en-US</dc:language>
  <cp:lastModifiedBy/>
  <dcterms:modified xsi:type="dcterms:W3CDTF">2026-03-27T00:37:54Z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